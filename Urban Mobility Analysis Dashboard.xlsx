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210f529cf4f30c31/Desktop/Excel/"/>
    </mc:Choice>
  </mc:AlternateContent>
  <xr:revisionPtr revIDLastSave="0" documentId="8_{1F2EB6C2-63E2-4EF1-9E61-EBADF55F5A07}" xr6:coauthVersionLast="47" xr6:coauthVersionMax="47" xr10:uidLastSave="{00000000-0000-0000-0000-000000000000}"/>
  <bookViews>
    <workbookView xWindow="-108" yWindow="-108" windowWidth="23256" windowHeight="12456" xr2:uid="{B793D86C-FC76-46D3-9030-828A5F210B75}"/>
  </bookViews>
  <sheets>
    <sheet name="dashboard" sheetId="6" r:id="rId1"/>
    <sheet name="count by weather" sheetId="1" r:id="rId2"/>
    <sheet name="avg travel tym by road" sheetId="2" r:id="rId3"/>
    <sheet name="congestion trend" sheetId="3" r:id="rId4"/>
    <sheet name="source destination " sheetId="4" r:id="rId5"/>
    <sheet name="avg travel tym by day of week" sheetId="5" r:id="rId6"/>
    <sheet name="impact of festival and weather" sheetId="7" r:id="rId7"/>
  </sheets>
  <definedNames>
    <definedName name="Slicer_date__Month">#N/A</definedName>
    <definedName name="Slicer_date__Year">#N/A</definedName>
    <definedName name="Slicer_day_of_week">#N/A</definedName>
    <definedName name="Slicer_festival">#N/A</definedName>
    <definedName name="Slicer_weather">#N/A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ffc_78c0bf50-f723-4c5f-bbb4-e03dd6ef3df0" name="traffc" connection="Query - traffc"/>
        </x15:modelTables>
        <x15:extLst>
          <ext xmlns:x16="http://schemas.microsoft.com/office/spreadsheetml/2014/11/main" uri="{9835A34E-60A6-4A7C-AAB8-D5F71C897F49}">
            <x16:modelTimeGroupings>
              <x16:modelTimeGrouping tableName="traffc"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traffc" columnName="time_of_day" columnId="time_of_day">
                <x16:calculatedTimeColumn columnName="time_of_day (Hour)" columnId="time_of_day (Hour)" contentType="hours" isSelected="1"/>
                <x16:calculatedTimeColumn columnName="time_of_day (Minute)" columnId="time_of_day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4B68A-3BB2-4D80-AD06-CDF2A49142B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D8390927-0560-4333-84DF-233C5F4956F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B47343FE-8E47-4CFE-A1E9-B0C4DC5BC96D}" name="Query - traffc" description="Connection to the 'traffc' query in the workbook." type="100" refreshedVersion="8" minRefreshableVersion="5">
    <extLst>
      <ext xmlns:x15="http://schemas.microsoft.com/office/spreadsheetml/2010/11/main" uri="{DE250136-89BD-433C-8126-D09CA5730AF9}">
        <x15:connection id="bd5b152f-4917-4a89-a718-72b39cb1a3fe"/>
      </ext>
    </extLst>
  </connection>
  <connection id="4" xr16:uid="{BF222231-679F-4CEF-A405-90646F0A315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BF3705E9-3C1C-4D50-904F-210F1F940DF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530637B5-DAF8-4EB2-9687-9E9A5DD954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<sst xmlns="http://schemas.openxmlformats.org/spreadsheetml/2006/main" count="79" uniqueCount="48">
  <si>
    <t>Row Labels</t>
  </si>
  <si>
    <t>Grand Total</t>
  </si>
  <si>
    <t>Sum of congestion_index</t>
  </si>
  <si>
    <t>Sum of actual_travel_time_min</t>
  </si>
  <si>
    <t>congested</t>
  </si>
  <si>
    <t>freeway</t>
  </si>
  <si>
    <t>urban</t>
  </si>
  <si>
    <t>Clear</t>
  </si>
  <si>
    <t>Cloudy</t>
  </si>
  <si>
    <t>Fog</t>
  </si>
  <si>
    <t>Heavy Rain</t>
  </si>
  <si>
    <t>Rain</t>
  </si>
  <si>
    <t>Storm</t>
  </si>
  <si>
    <t>Count of weather</t>
  </si>
  <si>
    <t>Rainy</t>
  </si>
  <si>
    <t>Stormy</t>
  </si>
  <si>
    <t>Eid</t>
  </si>
  <si>
    <t>Christmas/NewYear</t>
  </si>
  <si>
    <t>Ganesh Chaturthi</t>
  </si>
  <si>
    <t>Diwali</t>
  </si>
  <si>
    <t>Independence Day</t>
  </si>
  <si>
    <t>Janmashtami</t>
  </si>
  <si>
    <t>Friday</t>
  </si>
  <si>
    <t>Monday</t>
  </si>
  <si>
    <t>Sunday</t>
  </si>
  <si>
    <t>Thursday</t>
  </si>
  <si>
    <t>Wednesday</t>
  </si>
  <si>
    <t>Tuesday</t>
  </si>
  <si>
    <t>Saturday</t>
  </si>
  <si>
    <t>Average of actual_travel_time_min</t>
  </si>
  <si>
    <t>Column Labels</t>
  </si>
  <si>
    <t>Andheri</t>
  </si>
  <si>
    <t>Belapur</t>
  </si>
  <si>
    <t>Byculla</t>
  </si>
  <si>
    <t>Dadar</t>
  </si>
  <si>
    <t>Eastern Freeway Start</t>
  </si>
  <si>
    <t>Fort</t>
  </si>
  <si>
    <t>Ghatkopar</t>
  </si>
  <si>
    <t>Goregaon</t>
  </si>
  <si>
    <t>Juhu</t>
  </si>
  <si>
    <t>Kalyan</t>
  </si>
  <si>
    <t>Sion</t>
  </si>
  <si>
    <t>Colaba</t>
  </si>
  <si>
    <t>Urban Mobility Analysis</t>
  </si>
  <si>
    <t>Gudi Padwa</t>
  </si>
  <si>
    <t>Holi</t>
  </si>
  <si>
    <t>Navratri</t>
  </si>
  <si>
    <t>Ramadan Evenings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</si>
</sst>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orbel"/>
      <family val="2"/>
      <scheme val="minor"/>
    </font>
    <font>
      <sz val="50"/>
      <color theme="5" tint="-0.249977111117893"/>
      <name val="Angsana New"/>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Dashboard.xlsx]avg travel tym by road!PivotTable1</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b="0" i="0" u="none" strike="noStrike" cap="all" baseline="0"/>
              <a:t>Average Travel Time by Road Type</a:t>
            </a:r>
            <a:endParaRPr lang="en-US" sz="1400" b="0"/>
          </a:p>
        </c:rich>
      </c:tx>
      <c:layout>
        <c:manualLayout>
          <c:xMode val="edge"/>
          <c:yMode val="edge"/>
          <c:x val="0.13472222222222222"/>
          <c:y val="4.990522018081073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travel tym by road'!$C$3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'avg travel tym by road'!$B$4:$B$7</c:f>
              <c:strCache>
                <c:ptCount val="3"/>
                <c:pt idx="0">
                  <c:v>congested</c:v>
                </c:pt>
                <c:pt idx="1">
                  <c:v>freeway</c:v>
                </c:pt>
                <c:pt idx="2">
                  <c:v>urban</c:v>
                </c:pt>
              </c:strCache>
            </c:strRef>
          </c:cat>
          <c:val>
            <c:numRef>
              <c:f>'avg travel tym by road'!$C$4:$C$7</c:f>
              <c:numCache>
                <c:formatCode>General</c:formatCode>
                <c:ptCount val="3"/>
                <c:pt idx="0">
                  <c:v>84338.699999999983</c:v>
                </c:pt>
                <c:pt idx="1">
                  <c:v>18672.700000000004</c:v>
                </c:pt>
                <c:pt idx="2">
                  <c:v>67826.800000000017</c:v>
                </c:pt>
              </c:numCache>
            </c:numRef>
          </c:val>
          <c:extLst>
            <c:ext xmlns:c16="http://schemas.microsoft.com/office/drawing/2014/chart" uri="{C3380CC4-5D6E-409C-BE32-E72D297353CC}">
              <c16:uniqueId val="{00000000-F95C-41D6-85ED-961046734C15}"/>
            </c:ext>
          </c:extLst>
        </c:ser>
        <c:dLbls>
          <c:showLegendKey val="0"/>
          <c:showVal val="0"/>
          <c:showCatName val="0"/>
          <c:showSerName val="0"/>
          <c:showPercent val="0"/>
          <c:showBubbleSize val="0"/>
        </c:dLbls>
        <c:gapWidth val="355"/>
        <c:overlap val="-70"/>
        <c:axId val="1456789952"/>
        <c:axId val="1456788992"/>
      </c:barChart>
      <c:catAx>
        <c:axId val="14567899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road 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88992"/>
        <c:crosses val="autoZero"/>
        <c:auto val="1"/>
        <c:lblAlgn val="ctr"/>
        <c:lblOffset val="100"/>
        <c:noMultiLvlLbl val="0"/>
      </c:catAx>
      <c:valAx>
        <c:axId val="145678899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actual</a:t>
                </a:r>
                <a:r>
                  <a:rPr lang="en-IN" baseline="0"/>
                  <a:t> travel time</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Dashboard.xlsx]congestion trend!PivotTable3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Congestion Trend Over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1698508616655"/>
          <c:y val="0.14393518518518519"/>
          <c:w val="0.57369671814279033"/>
          <c:h val="0.50015128317293667"/>
        </c:manualLayout>
      </c:layout>
      <c:barChart>
        <c:barDir val="col"/>
        <c:grouping val="clustered"/>
        <c:varyColors val="0"/>
        <c:ser>
          <c:idx val="0"/>
          <c:order val="0"/>
          <c:tx>
            <c:strRef>
              <c:f>'congestion trend'!$B$1:$B$2</c:f>
              <c:strCache>
                <c:ptCount val="1"/>
                <c:pt idx="0">
                  <c:v>Christmas/NewYear</c:v>
                </c:pt>
              </c:strCache>
            </c:strRef>
          </c:tx>
          <c:spPr>
            <a:solidFill>
              <a:schemeClr val="accent1"/>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trend'!$B$3:$B$12</c:f>
              <c:numCache>
                <c:formatCode>General</c:formatCode>
                <c:ptCount val="9"/>
                <c:pt idx="1">
                  <c:v>43.610000000000007</c:v>
                </c:pt>
                <c:pt idx="8">
                  <c:v>44.730000000000004</c:v>
                </c:pt>
              </c:numCache>
            </c:numRef>
          </c:val>
          <c:extLst>
            <c:ext xmlns:c16="http://schemas.microsoft.com/office/drawing/2014/chart" uri="{C3380CC4-5D6E-409C-BE32-E72D297353CC}">
              <c16:uniqueId val="{00000000-4BCC-48FA-A770-8B4749AD21B2}"/>
            </c:ext>
          </c:extLst>
        </c:ser>
        <c:ser>
          <c:idx val="1"/>
          <c:order val="1"/>
          <c:tx>
            <c:strRef>
              <c:f>'congestion trend'!$C$1:$C$2</c:f>
              <c:strCache>
                <c:ptCount val="1"/>
                <c:pt idx="0">
                  <c:v>Diwali</c:v>
                </c:pt>
              </c:strCache>
            </c:strRef>
          </c:tx>
          <c:spPr>
            <a:solidFill>
              <a:schemeClr val="accent2"/>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trend'!$C$3:$C$12</c:f>
              <c:numCache>
                <c:formatCode>General</c:formatCode>
                <c:ptCount val="9"/>
                <c:pt idx="3">
                  <c:v>50.739999999999995</c:v>
                </c:pt>
              </c:numCache>
            </c:numRef>
          </c:val>
          <c:extLst>
            <c:ext xmlns:c16="http://schemas.microsoft.com/office/drawing/2014/chart" uri="{C3380CC4-5D6E-409C-BE32-E72D297353CC}">
              <c16:uniqueId val="{00000001-4BCC-48FA-A770-8B4749AD21B2}"/>
            </c:ext>
          </c:extLst>
        </c:ser>
        <c:ser>
          <c:idx val="2"/>
          <c:order val="2"/>
          <c:tx>
            <c:strRef>
              <c:f>'congestion trend'!$D$1:$D$2</c:f>
              <c:strCache>
                <c:ptCount val="1"/>
                <c:pt idx="0">
                  <c:v>Eid</c:v>
                </c:pt>
              </c:strCache>
            </c:strRef>
          </c:tx>
          <c:spPr>
            <a:solidFill>
              <a:schemeClr val="accent3"/>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trend'!$D$3:$D$12</c:f>
              <c:numCache>
                <c:formatCode>General</c:formatCode>
                <c:ptCount val="9"/>
                <c:pt idx="0">
                  <c:v>44.55</c:v>
                </c:pt>
                <c:pt idx="4">
                  <c:v>47.850000000000009</c:v>
                </c:pt>
              </c:numCache>
            </c:numRef>
          </c:val>
          <c:extLst>
            <c:ext xmlns:c16="http://schemas.microsoft.com/office/drawing/2014/chart" uri="{C3380CC4-5D6E-409C-BE32-E72D297353CC}">
              <c16:uniqueId val="{00000002-4BCC-48FA-A770-8B4749AD21B2}"/>
            </c:ext>
          </c:extLst>
        </c:ser>
        <c:ser>
          <c:idx val="3"/>
          <c:order val="3"/>
          <c:tx>
            <c:strRef>
              <c:f>'congestion trend'!$E$1:$E$2</c:f>
              <c:strCache>
                <c:ptCount val="1"/>
                <c:pt idx="0">
                  <c:v>Ganesh Chaturthi</c:v>
                </c:pt>
              </c:strCache>
            </c:strRef>
          </c:tx>
          <c:spPr>
            <a:solidFill>
              <a:schemeClr val="accent4"/>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trend'!$E$3:$E$12</c:f>
              <c:numCache>
                <c:formatCode>General</c:formatCode>
                <c:ptCount val="9"/>
                <c:pt idx="2">
                  <c:v>44.699999999999989</c:v>
                </c:pt>
                <c:pt idx="7">
                  <c:v>50.269999999999989</c:v>
                </c:pt>
              </c:numCache>
            </c:numRef>
          </c:val>
          <c:extLst>
            <c:ext xmlns:c16="http://schemas.microsoft.com/office/drawing/2014/chart" uri="{C3380CC4-5D6E-409C-BE32-E72D297353CC}">
              <c16:uniqueId val="{00000003-4BCC-48FA-A770-8B4749AD21B2}"/>
            </c:ext>
          </c:extLst>
        </c:ser>
        <c:ser>
          <c:idx val="4"/>
          <c:order val="4"/>
          <c:tx>
            <c:strRef>
              <c:f>'congestion trend'!$F$1:$F$2</c:f>
              <c:strCache>
                <c:ptCount val="1"/>
                <c:pt idx="0">
                  <c:v>Independence Day</c:v>
                </c:pt>
              </c:strCache>
            </c:strRef>
          </c:tx>
          <c:spPr>
            <a:solidFill>
              <a:schemeClr val="accent5"/>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trend'!$F$3:$F$12</c:f>
              <c:numCache>
                <c:formatCode>General</c:formatCode>
                <c:ptCount val="9"/>
                <c:pt idx="5">
                  <c:v>47.96</c:v>
                </c:pt>
              </c:numCache>
            </c:numRef>
          </c:val>
          <c:extLst>
            <c:ext xmlns:c16="http://schemas.microsoft.com/office/drawing/2014/chart" uri="{C3380CC4-5D6E-409C-BE32-E72D297353CC}">
              <c16:uniqueId val="{00000004-4BCC-48FA-A770-8B4749AD21B2}"/>
            </c:ext>
          </c:extLst>
        </c:ser>
        <c:ser>
          <c:idx val="5"/>
          <c:order val="5"/>
          <c:tx>
            <c:strRef>
              <c:f>'congestion trend'!$G$1:$G$2</c:f>
              <c:strCache>
                <c:ptCount val="1"/>
                <c:pt idx="0">
                  <c:v>Janmashtami</c:v>
                </c:pt>
              </c:strCache>
            </c:strRef>
          </c:tx>
          <c:spPr>
            <a:solidFill>
              <a:schemeClr val="accent6"/>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trend'!$G$3:$G$12</c:f>
              <c:numCache>
                <c:formatCode>General</c:formatCode>
                <c:ptCount val="9"/>
                <c:pt idx="6">
                  <c:v>49.609999999999992</c:v>
                </c:pt>
              </c:numCache>
            </c:numRef>
          </c:val>
          <c:extLst>
            <c:ext xmlns:c16="http://schemas.microsoft.com/office/drawing/2014/chart" uri="{C3380CC4-5D6E-409C-BE32-E72D297353CC}">
              <c16:uniqueId val="{00000005-4BCC-48FA-A770-8B4749AD21B2}"/>
            </c:ext>
          </c:extLst>
        </c:ser>
        <c:dLbls>
          <c:showLegendKey val="0"/>
          <c:showVal val="0"/>
          <c:showCatName val="0"/>
          <c:showSerName val="0"/>
          <c:showPercent val="0"/>
          <c:showBubbleSize val="0"/>
        </c:dLbls>
        <c:gapWidth val="150"/>
        <c:axId val="1537829456"/>
        <c:axId val="1537830896"/>
      </c:barChart>
      <c:catAx>
        <c:axId val="153782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30896"/>
        <c:crosses val="autoZero"/>
        <c:auto val="1"/>
        <c:lblAlgn val="ctr"/>
        <c:lblOffset val="100"/>
        <c:noMultiLvlLbl val="0"/>
      </c:catAx>
      <c:valAx>
        <c:axId val="1537830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Congestion</a:t>
                </a:r>
                <a:r>
                  <a:rPr lang="en-IN" baseline="0"/>
                  <a:t> index</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Dashboard.xlsx]source destination !PivotTable6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Congestion by Source–Destination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48599830533"/>
          <c:y val="0.26328484981044037"/>
          <c:w val="0.59936294872589746"/>
          <c:h val="0.34841535433070869"/>
        </c:manualLayout>
      </c:layout>
      <c:barChart>
        <c:barDir val="col"/>
        <c:grouping val="clustered"/>
        <c:varyColors val="0"/>
        <c:ser>
          <c:idx val="0"/>
          <c:order val="0"/>
          <c:tx>
            <c:strRef>
              <c:f>'source destination '!$B$1:$B$2</c:f>
              <c:strCache>
                <c:ptCount val="1"/>
                <c:pt idx="0">
                  <c:v>Byculla</c:v>
                </c:pt>
              </c:strCache>
            </c:strRef>
          </c:tx>
          <c:spPr>
            <a:solidFill>
              <a:schemeClr val="accent1"/>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'!$B$3:$B$12</c:f>
              <c:numCache>
                <c:formatCode>General</c:formatCode>
                <c:ptCount val="9"/>
                <c:pt idx="0">
                  <c:v>1.76</c:v>
                </c:pt>
                <c:pt idx="1">
                  <c:v>2.59</c:v>
                </c:pt>
                <c:pt idx="2">
                  <c:v>1.79</c:v>
                </c:pt>
                <c:pt idx="3">
                  <c:v>0.74</c:v>
                </c:pt>
                <c:pt idx="4">
                  <c:v>1.87</c:v>
                </c:pt>
                <c:pt idx="5">
                  <c:v>2.54</c:v>
                </c:pt>
                <c:pt idx="6">
                  <c:v>2.67</c:v>
                </c:pt>
                <c:pt idx="7">
                  <c:v>0.9</c:v>
                </c:pt>
                <c:pt idx="8">
                  <c:v>2.34</c:v>
                </c:pt>
              </c:numCache>
            </c:numRef>
          </c:val>
          <c:extLst>
            <c:ext xmlns:c16="http://schemas.microsoft.com/office/drawing/2014/chart" uri="{C3380CC4-5D6E-409C-BE32-E72D297353CC}">
              <c16:uniqueId val="{00000000-367F-4B7E-8F4A-3117C06CF38D}"/>
            </c:ext>
          </c:extLst>
        </c:ser>
        <c:ser>
          <c:idx val="1"/>
          <c:order val="1"/>
          <c:tx>
            <c:strRef>
              <c:f>'source destination '!$C$1:$C$2</c:f>
              <c:strCache>
                <c:ptCount val="1"/>
                <c:pt idx="0">
                  <c:v>Colaba</c:v>
                </c:pt>
              </c:strCache>
            </c:strRef>
          </c:tx>
          <c:spPr>
            <a:solidFill>
              <a:schemeClr val="accent2"/>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'!$C$3:$C$12</c:f>
              <c:numCache>
                <c:formatCode>General</c:formatCode>
                <c:ptCount val="9"/>
                <c:pt idx="0">
                  <c:v>0.85</c:v>
                </c:pt>
                <c:pt idx="1">
                  <c:v>0.44</c:v>
                </c:pt>
                <c:pt idx="2">
                  <c:v>4.05</c:v>
                </c:pt>
                <c:pt idx="3">
                  <c:v>2.7199999999999998</c:v>
                </c:pt>
                <c:pt idx="4">
                  <c:v>0.85</c:v>
                </c:pt>
                <c:pt idx="5">
                  <c:v>0.7</c:v>
                </c:pt>
                <c:pt idx="6">
                  <c:v>0.64</c:v>
                </c:pt>
                <c:pt idx="7">
                  <c:v>0.56000000000000005</c:v>
                </c:pt>
                <c:pt idx="8">
                  <c:v>2.3200000000000003</c:v>
                </c:pt>
              </c:numCache>
            </c:numRef>
          </c:val>
          <c:extLst>
            <c:ext xmlns:c16="http://schemas.microsoft.com/office/drawing/2014/chart" uri="{C3380CC4-5D6E-409C-BE32-E72D297353CC}">
              <c16:uniqueId val="{00000001-367F-4B7E-8F4A-3117C06CF38D}"/>
            </c:ext>
          </c:extLst>
        </c:ser>
        <c:ser>
          <c:idx val="2"/>
          <c:order val="2"/>
          <c:tx>
            <c:strRef>
              <c:f>'source destination '!$D$1:$D$2</c:f>
              <c:strCache>
                <c:ptCount val="1"/>
                <c:pt idx="0">
                  <c:v>Dadar</c:v>
                </c:pt>
              </c:strCache>
            </c:strRef>
          </c:tx>
          <c:spPr>
            <a:solidFill>
              <a:schemeClr val="accent3"/>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'!$D$3:$D$12</c:f>
              <c:numCache>
                <c:formatCode>General</c:formatCode>
                <c:ptCount val="9"/>
                <c:pt idx="1">
                  <c:v>2.88</c:v>
                </c:pt>
                <c:pt idx="2">
                  <c:v>4.41</c:v>
                </c:pt>
                <c:pt idx="3">
                  <c:v>1.93</c:v>
                </c:pt>
                <c:pt idx="4">
                  <c:v>0.95</c:v>
                </c:pt>
                <c:pt idx="5">
                  <c:v>1.28</c:v>
                </c:pt>
                <c:pt idx="6">
                  <c:v>1.48</c:v>
                </c:pt>
                <c:pt idx="7">
                  <c:v>0.49</c:v>
                </c:pt>
                <c:pt idx="8">
                  <c:v>2.85</c:v>
                </c:pt>
              </c:numCache>
            </c:numRef>
          </c:val>
          <c:extLst>
            <c:ext xmlns:c16="http://schemas.microsoft.com/office/drawing/2014/chart" uri="{C3380CC4-5D6E-409C-BE32-E72D297353CC}">
              <c16:uniqueId val="{00000002-367F-4B7E-8F4A-3117C06CF38D}"/>
            </c:ext>
          </c:extLst>
        </c:ser>
        <c:ser>
          <c:idx val="3"/>
          <c:order val="3"/>
          <c:tx>
            <c:strRef>
              <c:f>'source destination '!$E$1:$E$2</c:f>
              <c:strCache>
                <c:ptCount val="1"/>
                <c:pt idx="0">
                  <c:v>Ghatkopar</c:v>
                </c:pt>
              </c:strCache>
            </c:strRef>
          </c:tx>
          <c:spPr>
            <a:solidFill>
              <a:schemeClr val="accent4"/>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'!$E$3:$E$12</c:f>
              <c:numCache>
                <c:formatCode>General</c:formatCode>
                <c:ptCount val="9"/>
                <c:pt idx="0">
                  <c:v>2.74</c:v>
                </c:pt>
                <c:pt idx="1">
                  <c:v>0.81</c:v>
                </c:pt>
                <c:pt idx="2">
                  <c:v>3.88</c:v>
                </c:pt>
                <c:pt idx="3">
                  <c:v>2.79</c:v>
                </c:pt>
                <c:pt idx="4">
                  <c:v>2.75</c:v>
                </c:pt>
                <c:pt idx="5">
                  <c:v>2.6100000000000003</c:v>
                </c:pt>
                <c:pt idx="6">
                  <c:v>0.88</c:v>
                </c:pt>
                <c:pt idx="7">
                  <c:v>4.58</c:v>
                </c:pt>
              </c:numCache>
            </c:numRef>
          </c:val>
          <c:extLst>
            <c:ext xmlns:c16="http://schemas.microsoft.com/office/drawing/2014/chart" uri="{C3380CC4-5D6E-409C-BE32-E72D297353CC}">
              <c16:uniqueId val="{00000003-367F-4B7E-8F4A-3117C06CF38D}"/>
            </c:ext>
          </c:extLst>
        </c:ser>
        <c:ser>
          <c:idx val="4"/>
          <c:order val="4"/>
          <c:tx>
            <c:strRef>
              <c:f>'source destination '!$F$1:$F$2</c:f>
              <c:strCache>
                <c:ptCount val="1"/>
                <c:pt idx="0">
                  <c:v>Juhu</c:v>
                </c:pt>
              </c:strCache>
            </c:strRef>
          </c:tx>
          <c:spPr>
            <a:solidFill>
              <a:schemeClr val="accent5"/>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'!$F$3:$F$12</c:f>
              <c:numCache>
                <c:formatCode>General</c:formatCode>
                <c:ptCount val="9"/>
                <c:pt idx="0">
                  <c:v>2.65</c:v>
                </c:pt>
                <c:pt idx="3">
                  <c:v>1</c:v>
                </c:pt>
                <c:pt idx="4">
                  <c:v>1.68</c:v>
                </c:pt>
                <c:pt idx="5">
                  <c:v>2.4400000000000004</c:v>
                </c:pt>
                <c:pt idx="6">
                  <c:v>0.94</c:v>
                </c:pt>
                <c:pt idx="7">
                  <c:v>2.7399999999999998</c:v>
                </c:pt>
                <c:pt idx="8">
                  <c:v>1.1300000000000001</c:v>
                </c:pt>
              </c:numCache>
            </c:numRef>
          </c:val>
          <c:extLst>
            <c:ext xmlns:c16="http://schemas.microsoft.com/office/drawing/2014/chart" uri="{C3380CC4-5D6E-409C-BE32-E72D297353CC}">
              <c16:uniqueId val="{00000004-367F-4B7E-8F4A-3117C06CF38D}"/>
            </c:ext>
          </c:extLst>
        </c:ser>
        <c:dLbls>
          <c:showLegendKey val="0"/>
          <c:showVal val="0"/>
          <c:showCatName val="0"/>
          <c:showSerName val="0"/>
          <c:showPercent val="0"/>
          <c:showBubbleSize val="0"/>
        </c:dLbls>
        <c:gapWidth val="219"/>
        <c:overlap val="-27"/>
        <c:axId val="1969807855"/>
        <c:axId val="1969809775"/>
      </c:barChart>
      <c:catAx>
        <c:axId val="19698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09775"/>
        <c:crosses val="autoZero"/>
        <c:auto val="1"/>
        <c:lblAlgn val="ctr"/>
        <c:lblOffset val="100"/>
        <c:noMultiLvlLbl val="0"/>
      </c:catAx>
      <c:valAx>
        <c:axId val="196980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0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Dashboard.xlsx]avg travel tym by day of week!PivotTable7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Travel Time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48280773948481"/>
          <c:y val="0.20134661002426246"/>
          <c:w val="0.60554115722971813"/>
          <c:h val="0.57282923397461916"/>
        </c:manualLayout>
      </c:layout>
      <c:lineChart>
        <c:grouping val="standard"/>
        <c:varyColors val="0"/>
        <c:ser>
          <c:idx val="0"/>
          <c:order val="0"/>
          <c:tx>
            <c:strRef>
              <c:f>'avg travel tym by day of week'!$B$1</c:f>
              <c:strCache>
                <c:ptCount val="1"/>
                <c:pt idx="0">
                  <c:v>Total</c:v>
                </c:pt>
              </c:strCache>
            </c:strRef>
          </c:tx>
          <c:spPr>
            <a:ln w="28575" cap="rnd">
              <a:solidFill>
                <a:schemeClr val="accent1"/>
              </a:solidFill>
              <a:round/>
            </a:ln>
            <a:effectLst/>
          </c:spPr>
          <c:marker>
            <c:symbol val="none"/>
          </c:marker>
          <c:cat>
            <c:strRef>
              <c:f>'avg travel tym by day of week'!$A$2:$A$9</c:f>
              <c:strCache>
                <c:ptCount val="7"/>
                <c:pt idx="0">
                  <c:v>Sunday</c:v>
                </c:pt>
                <c:pt idx="1">
                  <c:v>Monday</c:v>
                </c:pt>
                <c:pt idx="2">
                  <c:v>Tuesday</c:v>
                </c:pt>
                <c:pt idx="3">
                  <c:v>Wednesday</c:v>
                </c:pt>
                <c:pt idx="4">
                  <c:v>Thursday</c:v>
                </c:pt>
                <c:pt idx="5">
                  <c:v>Friday</c:v>
                </c:pt>
                <c:pt idx="6">
                  <c:v>Saturday</c:v>
                </c:pt>
              </c:strCache>
            </c:strRef>
          </c:cat>
          <c:val>
            <c:numRef>
              <c:f>'avg travel tym by day of week'!$B$2:$B$9</c:f>
              <c:numCache>
                <c:formatCode>General</c:formatCode>
                <c:ptCount val="7"/>
                <c:pt idx="0">
                  <c:v>110.59820627802681</c:v>
                </c:pt>
                <c:pt idx="1">
                  <c:v>118.57270194986076</c:v>
                </c:pt>
                <c:pt idx="2">
                  <c:v>131.03510638297877</c:v>
                </c:pt>
                <c:pt idx="3">
                  <c:v>107.00810055865921</c:v>
                </c:pt>
                <c:pt idx="4">
                  <c:v>106.12918287937748</c:v>
                </c:pt>
                <c:pt idx="5">
                  <c:v>112.37192982456141</c:v>
                </c:pt>
                <c:pt idx="6">
                  <c:v>122.81333333333333</c:v>
                </c:pt>
              </c:numCache>
            </c:numRef>
          </c:val>
          <c:smooth val="0"/>
          <c:extLst>
            <c:ext xmlns:c16="http://schemas.microsoft.com/office/drawing/2014/chart" uri="{C3380CC4-5D6E-409C-BE32-E72D297353CC}">
              <c16:uniqueId val="{00000000-6997-47DF-A797-075E20028EB9}"/>
            </c:ext>
          </c:extLst>
        </c:ser>
        <c:dLbls>
          <c:showLegendKey val="0"/>
          <c:showVal val="0"/>
          <c:showCatName val="0"/>
          <c:showSerName val="0"/>
          <c:showPercent val="0"/>
          <c:showBubbleSize val="0"/>
        </c:dLbls>
        <c:smooth val="0"/>
        <c:axId val="1612579168"/>
        <c:axId val="1612582048"/>
      </c:lineChart>
      <c:catAx>
        <c:axId val="16125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82048"/>
        <c:crosses val="autoZero"/>
        <c:auto val="1"/>
        <c:lblAlgn val="ctr"/>
        <c:lblOffset val="100"/>
        <c:noMultiLvlLbl val="0"/>
      </c:catAx>
      <c:valAx>
        <c:axId val="161258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Actual</a:t>
                </a:r>
                <a:r>
                  <a:rPr lang="en-IN" baseline="0"/>
                  <a:t> travel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Dashboard.xlsx]count by weather!PivotTable2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Trip Count by Weather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6.944444444444447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222222222222243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4999999999999997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776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0925337632079971E-1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6.944444444444447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22222222222243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4999999999999997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7777777777777776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0925337632079971E-1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layout>
            <c:manualLayout>
              <c:x val="-6.944444444444447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2222222222222243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7.4999999999999997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2.7777777777777776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5.0925337632079971E-1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'count by weather'!$B$1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EE-40A3-8C27-4784F4DF8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EE-40A3-8C27-4784F4DF8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EE-40A3-8C27-4784F4DF8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EE-40A3-8C27-4784F4DF8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2EE-40A3-8C27-4784F4DF85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2EE-40A3-8C27-4784F4DF85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2EE-40A3-8C27-4784F4DF85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2EE-40A3-8C27-4784F4DF854F}"/>
              </c:ext>
            </c:extLst>
          </c:dPt>
          <c:dLbls>
            <c:dLbl>
              <c:idx val="0"/>
              <c:layout>
                <c:manualLayout>
                  <c:x val="9.7222222222222224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EE-40A3-8C27-4784F4DF854F}"/>
                </c:ext>
              </c:extLst>
            </c:dLbl>
            <c:dLbl>
              <c:idx val="1"/>
              <c:layout>
                <c:manualLayout>
                  <c:x val="-2.7777777777777776E-2"/>
                  <c:y val="0.11111111111111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EE-40A3-8C27-4784F4DF854F}"/>
                </c:ext>
              </c:extLst>
            </c:dLbl>
            <c:dLbl>
              <c:idx val="2"/>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2EE-40A3-8C27-4784F4DF854F}"/>
                </c:ext>
              </c:extLst>
            </c:dLbl>
            <c:dLbl>
              <c:idx val="3"/>
              <c:layout>
                <c:manualLayout>
                  <c:x val="-6.9444444444444475E-2"/>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2EE-40A3-8C27-4784F4DF854F}"/>
                </c:ext>
              </c:extLst>
            </c:dLbl>
            <c:dLbl>
              <c:idx val="4"/>
              <c:layout>
                <c:manualLayout>
                  <c:x val="-7.2222222222222243E-2"/>
                  <c:y val="1.3888888888888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2EE-40A3-8C27-4784F4DF854F}"/>
                </c:ext>
              </c:extLst>
            </c:dLbl>
            <c:dLbl>
              <c:idx val="5"/>
              <c:layout>
                <c:manualLayout>
                  <c:x val="-7.4999999999999997E-2"/>
                  <c:y val="-4.16666666666667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2EE-40A3-8C27-4784F4DF854F}"/>
                </c:ext>
              </c:extLst>
            </c:dLbl>
            <c:dLbl>
              <c:idx val="6"/>
              <c:layout>
                <c:manualLayout>
                  <c:x val="-2.7777777777777776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2EE-40A3-8C27-4784F4DF854F}"/>
                </c:ext>
              </c:extLst>
            </c:dLbl>
            <c:dLbl>
              <c:idx val="7"/>
              <c:layout>
                <c:manualLayout>
                  <c:x val="-5.0925337632079971E-17"/>
                  <c:y val="-0.106481481481481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2EE-40A3-8C27-4784F4DF85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'count by weather'!$A$2:$A$10</c:f>
              <c:strCache>
                <c:ptCount val="8"/>
                <c:pt idx="0">
                  <c:v>Clear</c:v>
                </c:pt>
                <c:pt idx="1">
                  <c:v>Cloudy</c:v>
                </c:pt>
                <c:pt idx="2">
                  <c:v>Fog</c:v>
                </c:pt>
                <c:pt idx="3">
                  <c:v>Heavy Rain</c:v>
                </c:pt>
                <c:pt idx="4">
                  <c:v>Rain</c:v>
                </c:pt>
                <c:pt idx="5">
                  <c:v>Rainy</c:v>
                </c:pt>
                <c:pt idx="6">
                  <c:v>Storm</c:v>
                </c:pt>
                <c:pt idx="7">
                  <c:v>Stormy</c:v>
                </c:pt>
              </c:strCache>
            </c:strRef>
          </c:cat>
          <c:val>
            <c:numRef>
              <c:f>'count by weather'!$B$2:$B$10</c:f>
              <c:numCache>
                <c:formatCode>General</c:formatCode>
                <c:ptCount val="8"/>
                <c:pt idx="0">
                  <c:v>2846</c:v>
                </c:pt>
                <c:pt idx="1">
                  <c:v>1188</c:v>
                </c:pt>
                <c:pt idx="2">
                  <c:v>25</c:v>
                </c:pt>
                <c:pt idx="3">
                  <c:v>258</c:v>
                </c:pt>
                <c:pt idx="4">
                  <c:v>264</c:v>
                </c:pt>
                <c:pt idx="5">
                  <c:v>1168</c:v>
                </c:pt>
                <c:pt idx="6">
                  <c:v>151</c:v>
                </c:pt>
                <c:pt idx="7">
                  <c:v>223</c:v>
                </c:pt>
              </c:numCache>
            </c:numRef>
          </c:val>
          <c:extLst>
            <c:ext xmlns:c16="http://schemas.microsoft.com/office/drawing/2014/chart" uri="{C3380CC4-5D6E-409C-BE32-E72D297353CC}">
              <c16:uniqueId val="{00000010-12EE-40A3-8C27-4784F4DF854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Dashboard.xlsx]impact of festival and weather!PivotTable1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a:t>
            </a:r>
            <a:r>
              <a:rPr lang="en-IN" sz="1400" b="0" i="0" u="none" strike="noStrike" baseline="0"/>
              <a:t>mpact of Festivals and Weather on Congestion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95420905004897E-2"/>
          <c:y val="0.14931098696461825"/>
          <c:w val="0.78583699107773453"/>
          <c:h val="0.48021701197964789"/>
        </c:manualLayout>
      </c:layout>
      <c:barChart>
        <c:barDir val="col"/>
        <c:grouping val="clustered"/>
        <c:varyColors val="0"/>
        <c:ser>
          <c:idx val="0"/>
          <c:order val="0"/>
          <c:tx>
            <c:strRef>
              <c:f>'impact of festival and weather'!$B$1:$B$2</c:f>
              <c:strCache>
                <c:ptCount val="1"/>
                <c:pt idx="0">
                  <c:v>Clear</c:v>
                </c:pt>
              </c:strCache>
            </c:strRef>
          </c:tx>
          <c:spPr>
            <a:solidFill>
              <a:schemeClr val="accent1"/>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weather'!$B$3:$B$13</c:f>
              <c:numCache>
                <c:formatCode>General</c:formatCode>
                <c:ptCount val="10"/>
                <c:pt idx="0">
                  <c:v>38.229999999999997</c:v>
                </c:pt>
                <c:pt idx="1">
                  <c:v>66.850000000000009</c:v>
                </c:pt>
                <c:pt idx="2">
                  <c:v>59.68</c:v>
                </c:pt>
                <c:pt idx="3">
                  <c:v>8.9499999999999993</c:v>
                </c:pt>
                <c:pt idx="4">
                  <c:v>49.870000000000005</c:v>
                </c:pt>
                <c:pt idx="5">
                  <c:v>53.780000000000008</c:v>
                </c:pt>
                <c:pt idx="6">
                  <c:v>9.23</c:v>
                </c:pt>
                <c:pt idx="7">
                  <c:v>8.35</c:v>
                </c:pt>
                <c:pt idx="8">
                  <c:v>66.720000000000013</c:v>
                </c:pt>
                <c:pt idx="9">
                  <c:v>50.280000000000015</c:v>
                </c:pt>
              </c:numCache>
            </c:numRef>
          </c:val>
          <c:extLst>
            <c:ext xmlns:c16="http://schemas.microsoft.com/office/drawing/2014/chart" uri="{C3380CC4-5D6E-409C-BE32-E72D297353CC}">
              <c16:uniqueId val="{00000000-7A17-4E6F-B778-69E7DE1D13FC}"/>
            </c:ext>
          </c:extLst>
        </c:ser>
        <c:ser>
          <c:idx val="1"/>
          <c:order val="1"/>
          <c:tx>
            <c:strRef>
              <c:f>'impact of festival and weather'!$C$1:$C$2</c:f>
              <c:strCache>
                <c:ptCount val="1"/>
                <c:pt idx="0">
                  <c:v>Cloudy</c:v>
                </c:pt>
              </c:strCache>
            </c:strRef>
          </c:tx>
          <c:spPr>
            <a:solidFill>
              <a:schemeClr val="accent2"/>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weather'!$C$3:$C$13</c:f>
              <c:numCache>
                <c:formatCode>General</c:formatCode>
                <c:ptCount val="10"/>
                <c:pt idx="0">
                  <c:v>31.1</c:v>
                </c:pt>
                <c:pt idx="1">
                  <c:v>22.249999999999996</c:v>
                </c:pt>
                <c:pt idx="2">
                  <c:v>21.02</c:v>
                </c:pt>
                <c:pt idx="3">
                  <c:v>14.82</c:v>
                </c:pt>
                <c:pt idx="4">
                  <c:v>22.51</c:v>
                </c:pt>
                <c:pt idx="5">
                  <c:v>19.080000000000002</c:v>
                </c:pt>
                <c:pt idx="6">
                  <c:v>17.27</c:v>
                </c:pt>
                <c:pt idx="7">
                  <c:v>18.619999999999994</c:v>
                </c:pt>
                <c:pt idx="8">
                  <c:v>14.330000000000002</c:v>
                </c:pt>
                <c:pt idx="9">
                  <c:v>25.03</c:v>
                </c:pt>
              </c:numCache>
            </c:numRef>
          </c:val>
          <c:extLst>
            <c:ext xmlns:c16="http://schemas.microsoft.com/office/drawing/2014/chart" uri="{C3380CC4-5D6E-409C-BE32-E72D297353CC}">
              <c16:uniqueId val="{00000001-7A17-4E6F-B778-69E7DE1D13FC}"/>
            </c:ext>
          </c:extLst>
        </c:ser>
        <c:ser>
          <c:idx val="2"/>
          <c:order val="2"/>
          <c:tx>
            <c:strRef>
              <c:f>'impact of festival and weather'!$D$1:$D$2</c:f>
              <c:strCache>
                <c:ptCount val="1"/>
                <c:pt idx="0">
                  <c:v>Fog</c:v>
                </c:pt>
              </c:strCache>
            </c:strRef>
          </c:tx>
          <c:spPr>
            <a:solidFill>
              <a:schemeClr val="accent3"/>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weather'!$D$3:$D$13</c:f>
              <c:numCache>
                <c:formatCode>General</c:formatCode>
                <c:ptCount val="10"/>
                <c:pt idx="0">
                  <c:v>21.040000000000003</c:v>
                </c:pt>
              </c:numCache>
            </c:numRef>
          </c:val>
          <c:extLst>
            <c:ext xmlns:c16="http://schemas.microsoft.com/office/drawing/2014/chart" uri="{C3380CC4-5D6E-409C-BE32-E72D297353CC}">
              <c16:uniqueId val="{00000002-7A17-4E6F-B778-69E7DE1D13FC}"/>
            </c:ext>
          </c:extLst>
        </c:ser>
        <c:ser>
          <c:idx val="3"/>
          <c:order val="3"/>
          <c:tx>
            <c:strRef>
              <c:f>'impact of festival and weather'!$E$1:$E$2</c:f>
              <c:strCache>
                <c:ptCount val="1"/>
                <c:pt idx="0">
                  <c:v>Heavy Rain</c:v>
                </c:pt>
              </c:strCache>
            </c:strRef>
          </c:tx>
          <c:spPr>
            <a:solidFill>
              <a:schemeClr val="accent4"/>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weather'!$E$3:$E$13</c:f>
              <c:numCache>
                <c:formatCode>General</c:formatCode>
                <c:ptCount val="10"/>
                <c:pt idx="0">
                  <c:v>11.98</c:v>
                </c:pt>
                <c:pt idx="1">
                  <c:v>12.84</c:v>
                </c:pt>
                <c:pt idx="2">
                  <c:v>10.23</c:v>
                </c:pt>
                <c:pt idx="3">
                  <c:v>40.850000000000009</c:v>
                </c:pt>
                <c:pt idx="4">
                  <c:v>14.009999999999998</c:v>
                </c:pt>
                <c:pt idx="5">
                  <c:v>15.83</c:v>
                </c:pt>
                <c:pt idx="6">
                  <c:v>39.949999999999989</c:v>
                </c:pt>
                <c:pt idx="7">
                  <c:v>42.69</c:v>
                </c:pt>
                <c:pt idx="8">
                  <c:v>14.9</c:v>
                </c:pt>
                <c:pt idx="9">
                  <c:v>23.67</c:v>
                </c:pt>
              </c:numCache>
            </c:numRef>
          </c:val>
          <c:extLst>
            <c:ext xmlns:c16="http://schemas.microsoft.com/office/drawing/2014/chart" uri="{C3380CC4-5D6E-409C-BE32-E72D297353CC}">
              <c16:uniqueId val="{00000003-7A17-4E6F-B778-69E7DE1D13FC}"/>
            </c:ext>
          </c:extLst>
        </c:ser>
        <c:ser>
          <c:idx val="4"/>
          <c:order val="4"/>
          <c:tx>
            <c:strRef>
              <c:f>'impact of festival and weather'!$F$1:$F$2</c:f>
              <c:strCache>
                <c:ptCount val="1"/>
                <c:pt idx="0">
                  <c:v>Rain</c:v>
                </c:pt>
              </c:strCache>
            </c:strRef>
          </c:tx>
          <c:spPr>
            <a:solidFill>
              <a:schemeClr val="accent5"/>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weather'!$F$3:$F$13</c:f>
              <c:numCache>
                <c:formatCode>General</c:formatCode>
                <c:ptCount val="10"/>
                <c:pt idx="0">
                  <c:v>9.6599999999999984</c:v>
                </c:pt>
                <c:pt idx="1">
                  <c:v>10.500000000000002</c:v>
                </c:pt>
                <c:pt idx="2">
                  <c:v>15.91</c:v>
                </c:pt>
                <c:pt idx="3">
                  <c:v>52.829999999999991</c:v>
                </c:pt>
                <c:pt idx="4">
                  <c:v>5.9899999999999993</c:v>
                </c:pt>
                <c:pt idx="5">
                  <c:v>8.5500000000000007</c:v>
                </c:pt>
                <c:pt idx="6">
                  <c:v>42.300000000000004</c:v>
                </c:pt>
                <c:pt idx="7">
                  <c:v>51.809999999999988</c:v>
                </c:pt>
                <c:pt idx="8">
                  <c:v>8.11</c:v>
                </c:pt>
                <c:pt idx="9">
                  <c:v>9.16</c:v>
                </c:pt>
              </c:numCache>
            </c:numRef>
          </c:val>
          <c:extLst>
            <c:ext xmlns:c16="http://schemas.microsoft.com/office/drawing/2014/chart" uri="{C3380CC4-5D6E-409C-BE32-E72D297353CC}">
              <c16:uniqueId val="{00000004-7A17-4E6F-B778-69E7DE1D13FC}"/>
            </c:ext>
          </c:extLst>
        </c:ser>
        <c:ser>
          <c:idx val="5"/>
          <c:order val="5"/>
          <c:tx>
            <c:strRef>
              <c:f>'impact of festival and weather'!$G$1:$G$2</c:f>
              <c:strCache>
                <c:ptCount val="1"/>
                <c:pt idx="0">
                  <c:v>Storm</c:v>
                </c:pt>
              </c:strCache>
            </c:strRef>
          </c:tx>
          <c:spPr>
            <a:solidFill>
              <a:schemeClr val="accent6"/>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weather'!$G$3:$G$13</c:f>
              <c:numCache>
                <c:formatCode>General</c:formatCode>
                <c:ptCount val="10"/>
                <c:pt idx="0">
                  <c:v>18.759999999999998</c:v>
                </c:pt>
                <c:pt idx="1">
                  <c:v>8.57</c:v>
                </c:pt>
                <c:pt idx="2">
                  <c:v>13.700000000000001</c:v>
                </c:pt>
                <c:pt idx="3">
                  <c:v>13.34</c:v>
                </c:pt>
                <c:pt idx="4">
                  <c:v>13.55</c:v>
                </c:pt>
                <c:pt idx="5">
                  <c:v>12.43</c:v>
                </c:pt>
                <c:pt idx="6">
                  <c:v>14.469999999999999</c:v>
                </c:pt>
                <c:pt idx="7">
                  <c:v>11.379999999999999</c:v>
                </c:pt>
                <c:pt idx="8">
                  <c:v>10.18</c:v>
                </c:pt>
                <c:pt idx="9">
                  <c:v>14.06</c:v>
                </c:pt>
              </c:numCache>
            </c:numRef>
          </c:val>
          <c:extLst>
            <c:ext xmlns:c16="http://schemas.microsoft.com/office/drawing/2014/chart" uri="{C3380CC4-5D6E-409C-BE32-E72D297353CC}">
              <c16:uniqueId val="{00000005-7A17-4E6F-B778-69E7DE1D13FC}"/>
            </c:ext>
          </c:extLst>
        </c:ser>
        <c:dLbls>
          <c:showLegendKey val="0"/>
          <c:showVal val="0"/>
          <c:showCatName val="0"/>
          <c:showSerName val="0"/>
          <c:showPercent val="0"/>
          <c:showBubbleSize val="0"/>
        </c:dLbls>
        <c:gapWidth val="219"/>
        <c:overlap val="-27"/>
        <c:axId val="1383002752"/>
        <c:axId val="1383003232"/>
      </c:barChart>
      <c:catAx>
        <c:axId val="138300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Festival</a:t>
                </a:r>
                <a:r>
                  <a:rPr lang="en-IN" baseline="0"/>
                  <a:t> and weather condition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03232"/>
        <c:crosses val="autoZero"/>
        <c:auto val="1"/>
        <c:lblAlgn val="ctr"/>
        <c:lblOffset val="100"/>
        <c:noMultiLvlLbl val="0"/>
      </c:catAx>
      <c:valAx>
        <c:axId val="138300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Congestion</a:t>
                </a:r>
                <a:r>
                  <a:rPr lang="en-IN" baseline="0"/>
                  <a:t> index</a:t>
                </a:r>
                <a:endParaRPr lang="en-IN"/>
              </a:p>
            </c:rich>
          </c:tx>
          <c:layout>
            <c:manualLayout>
              <c:xMode val="edge"/>
              <c:yMode val="edge"/>
              <c:x val="1.2939491650966943E-2"/>
              <c:y val="0.44901890057038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02752"/>
        <c:crosses val="autoZero"/>
        <c:crossBetween val="between"/>
      </c:valAx>
      <c:spPr>
        <a:noFill/>
        <a:ln>
          <a:noFill/>
        </a:ln>
        <a:effectLst/>
      </c:spPr>
    </c:plotArea>
    <c:legend>
      <c:legendPos val="r"/>
      <c:layout>
        <c:manualLayout>
          <c:xMode val="edge"/>
          <c:yMode val="edge"/>
          <c:x val="0.89701228556916146"/>
          <c:y val="0.50808135016642475"/>
          <c:w val="7.2261846873021215E-2"/>
          <c:h val="0.45884001488688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Dashboard.xlsx]count by weather!PivotTable2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Trip Count by Weather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6.944444444444447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222222222222243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4999999999999997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776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0925337632079971E-1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'count by weather'!$B$1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04-4F5A-9DBA-5955C316F1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04-4F5A-9DBA-5955C316F1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04-4F5A-9DBA-5955C316F1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04-4F5A-9DBA-5955C316F1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04-4F5A-9DBA-5955C316F1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04-4F5A-9DBA-5955C316F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04-4F5A-9DBA-5955C316F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04-4F5A-9DBA-5955C316F1D2}"/>
              </c:ext>
            </c:extLst>
          </c:dPt>
          <c:dLbls>
            <c:dLbl>
              <c:idx val="0"/>
              <c:layout>
                <c:manualLayout>
                  <c:x val="9.7222222222222224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04-4F5A-9DBA-5955C316F1D2}"/>
                </c:ext>
              </c:extLst>
            </c:dLbl>
            <c:dLbl>
              <c:idx val="1"/>
              <c:layout>
                <c:manualLayout>
                  <c:x val="-2.7777777777777776E-2"/>
                  <c:y val="0.11111111111111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04-4F5A-9DBA-5955C316F1D2}"/>
                </c:ext>
              </c:extLst>
            </c:dLbl>
            <c:dLbl>
              <c:idx val="2"/>
              <c:layout>
                <c:manualLayout>
                  <c:x val="-5.5555555555555552E-2"/>
                  <c:y val="0.208333333333333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66A89-E963-4D4F-8DDC-AF6150C32EFB}" type="PERCENTAGE">
                      <a:rPr lang="en-US">
                        <a:solidFill>
                          <a:schemeClr val="bg1"/>
                        </a:solidFill>
                      </a:rPr>
                      <a:pPr>
                        <a:defRPr/>
                      </a:pPr>
                      <a:t>[PERCENTAGE]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204-4F5A-9DBA-5955C316F1D2}"/>
                </c:ext>
              </c:extLst>
            </c:dLbl>
            <c:dLbl>
              <c:idx val="3"/>
              <c:layout>
                <c:manualLayout>
                  <c:x val="-6.9444444444444475E-2"/>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204-4F5A-9DBA-5955C316F1D2}"/>
                </c:ext>
              </c:extLst>
            </c:dLbl>
            <c:dLbl>
              <c:idx val="4"/>
              <c:layout>
                <c:manualLayout>
                  <c:x val="-7.2222222222222243E-2"/>
                  <c:y val="1.3888888888888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204-4F5A-9DBA-5955C316F1D2}"/>
                </c:ext>
              </c:extLst>
            </c:dLbl>
            <c:dLbl>
              <c:idx val="5"/>
              <c:layout>
                <c:manualLayout>
                  <c:x val="-7.4999999999999997E-2"/>
                  <c:y val="-4.16666666666667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204-4F5A-9DBA-5955C316F1D2}"/>
                </c:ext>
              </c:extLst>
            </c:dLbl>
            <c:dLbl>
              <c:idx val="6"/>
              <c:layout>
                <c:manualLayout>
                  <c:x val="-2.7777777777777776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204-4F5A-9DBA-5955C316F1D2}"/>
                </c:ext>
              </c:extLst>
            </c:dLbl>
            <c:dLbl>
              <c:idx val="7"/>
              <c:layout>
                <c:manualLayout>
                  <c:x val="-5.0925337632079971E-17"/>
                  <c:y val="-0.106481481481481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3204-4F5A-9DBA-5955C316F1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'count by weather'!$A$2:$A$10</c:f>
              <c:strCache>
                <c:ptCount val="8"/>
                <c:pt idx="0">
                  <c:v>Clear</c:v>
                </c:pt>
                <c:pt idx="1">
                  <c:v>Cloudy</c:v>
                </c:pt>
                <c:pt idx="2">
                  <c:v>Fog</c:v>
                </c:pt>
                <c:pt idx="3">
                  <c:v>Heavy Rain</c:v>
                </c:pt>
                <c:pt idx="4">
                  <c:v>Rain</c:v>
                </c:pt>
                <c:pt idx="5">
                  <c:v>Rainy</c:v>
                </c:pt>
                <c:pt idx="6">
                  <c:v>Storm</c:v>
                </c:pt>
                <c:pt idx="7">
                  <c:v>Stormy</c:v>
                </c:pt>
              </c:strCache>
            </c:strRef>
          </c:cat>
          <c:val>
            <c:numRef>
              <c:f>'count by weather'!$B$2:$B$10</c:f>
              <c:numCache>
                <c:formatCode>General</c:formatCode>
                <c:ptCount val="8"/>
                <c:pt idx="0">
                  <c:v>2846</c:v>
                </c:pt>
                <c:pt idx="1">
                  <c:v>1188</c:v>
                </c:pt>
                <c:pt idx="2">
                  <c:v>25</c:v>
                </c:pt>
                <c:pt idx="3">
                  <c:v>258</c:v>
                </c:pt>
                <c:pt idx="4">
                  <c:v>264</c:v>
                </c:pt>
                <c:pt idx="5">
                  <c:v>1168</c:v>
                </c:pt>
                <c:pt idx="6">
                  <c:v>151</c:v>
                </c:pt>
                <c:pt idx="7">
                  <c:v>223</c:v>
                </c:pt>
              </c:numCache>
            </c:numRef>
          </c:val>
          <c:extLst>
            <c:ext xmlns:c16="http://schemas.microsoft.com/office/drawing/2014/chart" uri="{C3380CC4-5D6E-409C-BE32-E72D297353CC}">
              <c16:uniqueId val="{00000000-D80E-4DC8-B529-F5E69086FE9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Dashboard.xlsx]avg travel tym by road!PivotTable1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0" i="0" u="none" strike="noStrike" cap="all" baseline="0"/>
              <a:t>Average Travel Time by Road Type</a:t>
            </a:r>
            <a:endParaRPr lang="en-US" b="0"/>
          </a:p>
        </c:rich>
      </c:tx>
      <c:layout>
        <c:manualLayout>
          <c:xMode val="edge"/>
          <c:yMode val="edge"/>
          <c:x val="0.13472222222222222"/>
          <c:y val="4.990522018081073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travel tym by road'!$C$3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'avg travel tym by road'!$B$4:$B$7</c:f>
              <c:strCache>
                <c:ptCount val="3"/>
                <c:pt idx="0">
                  <c:v>congested</c:v>
                </c:pt>
                <c:pt idx="1">
                  <c:v>freeway</c:v>
                </c:pt>
                <c:pt idx="2">
                  <c:v>urban</c:v>
                </c:pt>
              </c:strCache>
            </c:strRef>
          </c:cat>
          <c:val>
            <c:numRef>
              <c:f>'avg travel tym by road'!$C$4:$C$7</c:f>
              <c:numCache>
                <c:formatCode>General</c:formatCode>
                <c:ptCount val="3"/>
                <c:pt idx="0">
                  <c:v>84338.699999999983</c:v>
                </c:pt>
                <c:pt idx="1">
                  <c:v>18672.700000000004</c:v>
                </c:pt>
                <c:pt idx="2">
                  <c:v>67826.800000000017</c:v>
                </c:pt>
              </c:numCache>
            </c:numRef>
          </c:val>
          <c:extLst>
            <c:ext xmlns:c16="http://schemas.microsoft.com/office/drawing/2014/chart" uri="{C3380CC4-5D6E-409C-BE32-E72D297353CC}">
              <c16:uniqueId val="{00000000-41B2-4DF0-9C22-DB37114F15F3}"/>
            </c:ext>
          </c:extLst>
        </c:ser>
        <c:dLbls>
          <c:showLegendKey val="0"/>
          <c:showVal val="0"/>
          <c:showCatName val="0"/>
          <c:showSerName val="0"/>
          <c:showPercent val="0"/>
          <c:showBubbleSize val="0"/>
        </c:dLbls>
        <c:gapWidth val="355"/>
        <c:overlap val="-70"/>
        <c:axId val="1456789952"/>
        <c:axId val="1456788992"/>
      </c:barChart>
      <c:catAx>
        <c:axId val="14567899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road 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88992"/>
        <c:crosses val="autoZero"/>
        <c:auto val="1"/>
        <c:lblAlgn val="ctr"/>
        <c:lblOffset val="100"/>
        <c:noMultiLvlLbl val="0"/>
      </c:catAx>
      <c:valAx>
        <c:axId val="145678899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actual</a:t>
                </a:r>
                <a:r>
                  <a:rPr lang="en-IN" baseline="0"/>
                  <a:t> travel time</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Dashboard.xlsx]congestion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Congestion Trend Over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1698508616655"/>
          <c:y val="0.14393518518518519"/>
          <c:w val="0.57369671814279033"/>
          <c:h val="0.50015128317293667"/>
        </c:manualLayout>
      </c:layout>
      <c:barChart>
        <c:barDir val="col"/>
        <c:grouping val="clustered"/>
        <c:varyColors val="0"/>
        <c:ser>
          <c:idx val="0"/>
          <c:order val="0"/>
          <c:tx>
            <c:strRef>
              <c:f>'congestion trend'!$B$1:$B$2</c:f>
              <c:strCache>
                <c:ptCount val="1"/>
                <c:pt idx="0">
                  <c:v>Christmas/NewYear</c:v>
                </c:pt>
              </c:strCache>
            </c:strRef>
          </c:tx>
          <c:spPr>
            <a:solidFill>
              <a:schemeClr val="accent1"/>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trend'!$B$3:$B$12</c:f>
              <c:numCache>
                <c:formatCode>General</c:formatCode>
                <c:ptCount val="9"/>
                <c:pt idx="1">
                  <c:v>43.610000000000007</c:v>
                </c:pt>
                <c:pt idx="8">
                  <c:v>44.730000000000004</c:v>
                </c:pt>
              </c:numCache>
            </c:numRef>
          </c:val>
          <c:extLst>
            <c:ext xmlns:c16="http://schemas.microsoft.com/office/drawing/2014/chart" uri="{C3380CC4-5D6E-409C-BE32-E72D297353CC}">
              <c16:uniqueId val="{00000000-5174-4D3A-9C00-56E811438ADA}"/>
            </c:ext>
          </c:extLst>
        </c:ser>
        <c:ser>
          <c:idx val="1"/>
          <c:order val="1"/>
          <c:tx>
            <c:strRef>
              <c:f>'congestion trend'!$C$1:$C$2</c:f>
              <c:strCache>
                <c:ptCount val="1"/>
                <c:pt idx="0">
                  <c:v>Diwali</c:v>
                </c:pt>
              </c:strCache>
            </c:strRef>
          </c:tx>
          <c:spPr>
            <a:solidFill>
              <a:schemeClr val="accent2"/>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trend'!$C$3:$C$12</c:f>
              <c:numCache>
                <c:formatCode>General</c:formatCode>
                <c:ptCount val="9"/>
                <c:pt idx="3">
                  <c:v>50.739999999999995</c:v>
                </c:pt>
              </c:numCache>
            </c:numRef>
          </c:val>
          <c:extLst>
            <c:ext xmlns:c16="http://schemas.microsoft.com/office/drawing/2014/chart" uri="{C3380CC4-5D6E-409C-BE32-E72D297353CC}">
              <c16:uniqueId val="{00000000-97E2-4778-BB28-5EED4972DD47}"/>
            </c:ext>
          </c:extLst>
        </c:ser>
        <c:ser>
          <c:idx val="2"/>
          <c:order val="2"/>
          <c:tx>
            <c:strRef>
              <c:f>'congestion trend'!$D$1:$D$2</c:f>
              <c:strCache>
                <c:ptCount val="1"/>
                <c:pt idx="0">
                  <c:v>Eid</c:v>
                </c:pt>
              </c:strCache>
            </c:strRef>
          </c:tx>
          <c:spPr>
            <a:solidFill>
              <a:schemeClr val="accent3"/>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trend'!$D$3:$D$12</c:f>
              <c:numCache>
                <c:formatCode>General</c:formatCode>
                <c:ptCount val="9"/>
                <c:pt idx="0">
                  <c:v>44.55</c:v>
                </c:pt>
                <c:pt idx="4">
                  <c:v>47.850000000000009</c:v>
                </c:pt>
              </c:numCache>
            </c:numRef>
          </c:val>
          <c:extLst>
            <c:ext xmlns:c16="http://schemas.microsoft.com/office/drawing/2014/chart" uri="{C3380CC4-5D6E-409C-BE32-E72D297353CC}">
              <c16:uniqueId val="{00000001-97E2-4778-BB28-5EED4972DD47}"/>
            </c:ext>
          </c:extLst>
        </c:ser>
        <c:ser>
          <c:idx val="3"/>
          <c:order val="3"/>
          <c:tx>
            <c:strRef>
              <c:f>'congestion trend'!$E$1:$E$2</c:f>
              <c:strCache>
                <c:ptCount val="1"/>
                <c:pt idx="0">
                  <c:v>Ganesh Chaturthi</c:v>
                </c:pt>
              </c:strCache>
            </c:strRef>
          </c:tx>
          <c:spPr>
            <a:solidFill>
              <a:schemeClr val="accent4"/>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trend'!$E$3:$E$12</c:f>
              <c:numCache>
                <c:formatCode>General</c:formatCode>
                <c:ptCount val="9"/>
                <c:pt idx="2">
                  <c:v>44.699999999999989</c:v>
                </c:pt>
                <c:pt idx="7">
                  <c:v>50.269999999999989</c:v>
                </c:pt>
              </c:numCache>
            </c:numRef>
          </c:val>
          <c:extLst>
            <c:ext xmlns:c16="http://schemas.microsoft.com/office/drawing/2014/chart" uri="{C3380CC4-5D6E-409C-BE32-E72D297353CC}">
              <c16:uniqueId val="{00000002-97E2-4778-BB28-5EED4972DD47}"/>
            </c:ext>
          </c:extLst>
        </c:ser>
        <c:ser>
          <c:idx val="4"/>
          <c:order val="4"/>
          <c:tx>
            <c:strRef>
              <c:f>'congestion trend'!$F$1:$F$2</c:f>
              <c:strCache>
                <c:ptCount val="1"/>
                <c:pt idx="0">
                  <c:v>Independence Day</c:v>
                </c:pt>
              </c:strCache>
            </c:strRef>
          </c:tx>
          <c:spPr>
            <a:solidFill>
              <a:schemeClr val="accent5"/>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trend'!$F$3:$F$12</c:f>
              <c:numCache>
                <c:formatCode>General</c:formatCode>
                <c:ptCount val="9"/>
                <c:pt idx="5">
                  <c:v>47.96</c:v>
                </c:pt>
              </c:numCache>
            </c:numRef>
          </c:val>
          <c:extLst>
            <c:ext xmlns:c16="http://schemas.microsoft.com/office/drawing/2014/chart" uri="{C3380CC4-5D6E-409C-BE32-E72D297353CC}">
              <c16:uniqueId val="{00000003-97E2-4778-BB28-5EED4972DD47}"/>
            </c:ext>
          </c:extLst>
        </c:ser>
        <c:ser>
          <c:idx val="5"/>
          <c:order val="5"/>
          <c:tx>
            <c:strRef>
              <c:f>'congestion trend'!$G$1:$G$2</c:f>
              <c:strCache>
                <c:ptCount val="1"/>
                <c:pt idx="0">
                  <c:v>Janmashtami</c:v>
                </c:pt>
              </c:strCache>
            </c:strRef>
          </c:tx>
          <c:spPr>
            <a:solidFill>
              <a:schemeClr val="accent6"/>
            </a:solidFill>
            <a:ln>
              <a:noFill/>
            </a:ln>
            <a:effectLst/>
          </c:spPr>
          <c:invertIfNegative val="0"/>
          <c:cat>
            <c:strRef>
              <c:f>'congestion trend'!$A$3:$A$12</c:f>
              <c:strCache>
                <c:ptCount val="9"/>
                <c:pt idx="0">
                  <c:v>02-05-2022</c:v>
                </c:pt>
                <c:pt idx="1">
                  <c:v>25-12-2022</c:v>
                </c:pt>
                <c:pt idx="2">
                  <c:v>19-09-2023</c:v>
                </c:pt>
                <c:pt idx="3">
                  <c:v>12-11-2023</c:v>
                </c:pt>
                <c:pt idx="4">
                  <c:v>10-04-2024</c:v>
                </c:pt>
                <c:pt idx="5">
                  <c:v>15-08-2024</c:v>
                </c:pt>
                <c:pt idx="6">
                  <c:v>26-08-2024</c:v>
                </c:pt>
                <c:pt idx="7">
                  <c:v>07-09-2024</c:v>
                </c:pt>
                <c:pt idx="8">
                  <c:v>25-12-2024</c:v>
                </c:pt>
              </c:strCache>
            </c:strRef>
          </c:cat>
          <c:val>
            <c:numRef>
              <c:f>'congestion trend'!$G$3:$G$12</c:f>
              <c:numCache>
                <c:formatCode>General</c:formatCode>
                <c:ptCount val="9"/>
                <c:pt idx="6">
                  <c:v>49.609999999999992</c:v>
                </c:pt>
              </c:numCache>
            </c:numRef>
          </c:val>
          <c:extLst>
            <c:ext xmlns:c16="http://schemas.microsoft.com/office/drawing/2014/chart" uri="{C3380CC4-5D6E-409C-BE32-E72D297353CC}">
              <c16:uniqueId val="{00000004-97E2-4778-BB28-5EED4972DD47}"/>
            </c:ext>
          </c:extLst>
        </c:ser>
        <c:dLbls>
          <c:showLegendKey val="0"/>
          <c:showVal val="0"/>
          <c:showCatName val="0"/>
          <c:showSerName val="0"/>
          <c:showPercent val="0"/>
          <c:showBubbleSize val="0"/>
        </c:dLbls>
        <c:gapWidth val="150"/>
        <c:axId val="1537829456"/>
        <c:axId val="1537830896"/>
      </c:barChart>
      <c:catAx>
        <c:axId val="153782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30896"/>
        <c:crosses val="autoZero"/>
        <c:auto val="1"/>
        <c:lblAlgn val="ctr"/>
        <c:lblOffset val="100"/>
        <c:noMultiLvlLbl val="0"/>
      </c:catAx>
      <c:valAx>
        <c:axId val="1537830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Congestion</a:t>
                </a:r>
                <a:r>
                  <a:rPr lang="en-IN" baseline="0"/>
                  <a:t> index</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8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Dashboard.xlsx]source destination !PivotTable6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Congestion by Source–Destination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48599830533"/>
          <c:y val="0.26328484981044037"/>
          <c:w val="0.59936294872589746"/>
          <c:h val="0.34841535433070869"/>
        </c:manualLayout>
      </c:layout>
      <c:barChart>
        <c:barDir val="col"/>
        <c:grouping val="clustered"/>
        <c:varyColors val="0"/>
        <c:ser>
          <c:idx val="0"/>
          <c:order val="0"/>
          <c:tx>
            <c:strRef>
              <c:f>'source destination '!$B$1:$B$2</c:f>
              <c:strCache>
                <c:ptCount val="1"/>
                <c:pt idx="0">
                  <c:v>Byculla</c:v>
                </c:pt>
              </c:strCache>
            </c:strRef>
          </c:tx>
          <c:spPr>
            <a:solidFill>
              <a:schemeClr val="accent1"/>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'!$B$3:$B$12</c:f>
              <c:numCache>
                <c:formatCode>General</c:formatCode>
                <c:ptCount val="9"/>
                <c:pt idx="0">
                  <c:v>1.76</c:v>
                </c:pt>
                <c:pt idx="1">
                  <c:v>2.59</c:v>
                </c:pt>
                <c:pt idx="2">
                  <c:v>1.79</c:v>
                </c:pt>
                <c:pt idx="3">
                  <c:v>0.74</c:v>
                </c:pt>
                <c:pt idx="4">
                  <c:v>1.87</c:v>
                </c:pt>
                <c:pt idx="5">
                  <c:v>2.54</c:v>
                </c:pt>
                <c:pt idx="6">
                  <c:v>2.67</c:v>
                </c:pt>
                <c:pt idx="7">
                  <c:v>0.9</c:v>
                </c:pt>
                <c:pt idx="8">
                  <c:v>2.34</c:v>
                </c:pt>
              </c:numCache>
            </c:numRef>
          </c:val>
          <c:extLst>
            <c:ext xmlns:c16="http://schemas.microsoft.com/office/drawing/2014/chart" uri="{C3380CC4-5D6E-409C-BE32-E72D297353CC}">
              <c16:uniqueId val="{00000000-7769-4EB6-99C2-588BA00FA7A4}"/>
            </c:ext>
          </c:extLst>
        </c:ser>
        <c:ser>
          <c:idx val="1"/>
          <c:order val="1"/>
          <c:tx>
            <c:strRef>
              <c:f>'source destination '!$C$1:$C$2</c:f>
              <c:strCache>
                <c:ptCount val="1"/>
                <c:pt idx="0">
                  <c:v>Colaba</c:v>
                </c:pt>
              </c:strCache>
            </c:strRef>
          </c:tx>
          <c:spPr>
            <a:solidFill>
              <a:schemeClr val="accent2"/>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'!$C$3:$C$12</c:f>
              <c:numCache>
                <c:formatCode>General</c:formatCode>
                <c:ptCount val="9"/>
                <c:pt idx="0">
                  <c:v>0.85</c:v>
                </c:pt>
                <c:pt idx="1">
                  <c:v>0.44</c:v>
                </c:pt>
                <c:pt idx="2">
                  <c:v>4.05</c:v>
                </c:pt>
                <c:pt idx="3">
                  <c:v>2.7199999999999998</c:v>
                </c:pt>
                <c:pt idx="4">
                  <c:v>0.85</c:v>
                </c:pt>
                <c:pt idx="5">
                  <c:v>0.7</c:v>
                </c:pt>
                <c:pt idx="6">
                  <c:v>0.64</c:v>
                </c:pt>
                <c:pt idx="7">
                  <c:v>0.56000000000000005</c:v>
                </c:pt>
                <c:pt idx="8">
                  <c:v>2.3200000000000003</c:v>
                </c:pt>
              </c:numCache>
            </c:numRef>
          </c:val>
          <c:extLst>
            <c:ext xmlns:c16="http://schemas.microsoft.com/office/drawing/2014/chart" uri="{C3380CC4-5D6E-409C-BE32-E72D297353CC}">
              <c16:uniqueId val="{00000001-7769-4EB6-99C2-588BA00FA7A4}"/>
            </c:ext>
          </c:extLst>
        </c:ser>
        <c:ser>
          <c:idx val="2"/>
          <c:order val="2"/>
          <c:tx>
            <c:strRef>
              <c:f>'source destination '!$D$1:$D$2</c:f>
              <c:strCache>
                <c:ptCount val="1"/>
                <c:pt idx="0">
                  <c:v>Dadar</c:v>
                </c:pt>
              </c:strCache>
            </c:strRef>
          </c:tx>
          <c:spPr>
            <a:solidFill>
              <a:schemeClr val="accent3"/>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'!$D$3:$D$12</c:f>
              <c:numCache>
                <c:formatCode>General</c:formatCode>
                <c:ptCount val="9"/>
                <c:pt idx="1">
                  <c:v>2.88</c:v>
                </c:pt>
                <c:pt idx="2">
                  <c:v>4.41</c:v>
                </c:pt>
                <c:pt idx="3">
                  <c:v>1.93</c:v>
                </c:pt>
                <c:pt idx="4">
                  <c:v>0.95</c:v>
                </c:pt>
                <c:pt idx="5">
                  <c:v>1.28</c:v>
                </c:pt>
                <c:pt idx="6">
                  <c:v>1.48</c:v>
                </c:pt>
                <c:pt idx="7">
                  <c:v>0.49</c:v>
                </c:pt>
                <c:pt idx="8">
                  <c:v>2.85</c:v>
                </c:pt>
              </c:numCache>
            </c:numRef>
          </c:val>
          <c:extLst>
            <c:ext xmlns:c16="http://schemas.microsoft.com/office/drawing/2014/chart" uri="{C3380CC4-5D6E-409C-BE32-E72D297353CC}">
              <c16:uniqueId val="{00000002-7769-4EB6-99C2-588BA00FA7A4}"/>
            </c:ext>
          </c:extLst>
        </c:ser>
        <c:ser>
          <c:idx val="3"/>
          <c:order val="3"/>
          <c:tx>
            <c:strRef>
              <c:f>'source destination '!$E$1:$E$2</c:f>
              <c:strCache>
                <c:ptCount val="1"/>
                <c:pt idx="0">
                  <c:v>Ghatkopar</c:v>
                </c:pt>
              </c:strCache>
            </c:strRef>
          </c:tx>
          <c:spPr>
            <a:solidFill>
              <a:schemeClr val="accent4"/>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'!$E$3:$E$12</c:f>
              <c:numCache>
                <c:formatCode>General</c:formatCode>
                <c:ptCount val="9"/>
                <c:pt idx="0">
                  <c:v>2.74</c:v>
                </c:pt>
                <c:pt idx="1">
                  <c:v>0.81</c:v>
                </c:pt>
                <c:pt idx="2">
                  <c:v>3.88</c:v>
                </c:pt>
                <c:pt idx="3">
                  <c:v>2.79</c:v>
                </c:pt>
                <c:pt idx="4">
                  <c:v>2.75</c:v>
                </c:pt>
                <c:pt idx="5">
                  <c:v>2.6100000000000003</c:v>
                </c:pt>
                <c:pt idx="6">
                  <c:v>0.88</c:v>
                </c:pt>
                <c:pt idx="7">
                  <c:v>4.58</c:v>
                </c:pt>
              </c:numCache>
            </c:numRef>
          </c:val>
          <c:extLst>
            <c:ext xmlns:c16="http://schemas.microsoft.com/office/drawing/2014/chart" uri="{C3380CC4-5D6E-409C-BE32-E72D297353CC}">
              <c16:uniqueId val="{00000003-7769-4EB6-99C2-588BA00FA7A4}"/>
            </c:ext>
          </c:extLst>
        </c:ser>
        <c:ser>
          <c:idx val="4"/>
          <c:order val="4"/>
          <c:tx>
            <c:strRef>
              <c:f>'source destination '!$F$1:$F$2</c:f>
              <c:strCache>
                <c:ptCount val="1"/>
                <c:pt idx="0">
                  <c:v>Juhu</c:v>
                </c:pt>
              </c:strCache>
            </c:strRef>
          </c:tx>
          <c:spPr>
            <a:solidFill>
              <a:schemeClr val="accent5"/>
            </a:solidFill>
            <a:ln>
              <a:noFill/>
            </a:ln>
            <a:effectLst/>
          </c:spPr>
          <c:invertIfNegative val="0"/>
          <c:cat>
            <c:strRef>
              <c:f>'source destination '!$A$3:$A$12</c:f>
              <c:strCache>
                <c:ptCount val="9"/>
                <c:pt idx="0">
                  <c:v>Dadar</c:v>
                </c:pt>
                <c:pt idx="1">
                  <c:v>Juhu</c:v>
                </c:pt>
                <c:pt idx="2">
                  <c:v>Sion</c:v>
                </c:pt>
                <c:pt idx="3">
                  <c:v>Fort</c:v>
                </c:pt>
                <c:pt idx="4">
                  <c:v>Andheri</c:v>
                </c:pt>
                <c:pt idx="5">
                  <c:v>Belapur</c:v>
                </c:pt>
                <c:pt idx="6">
                  <c:v>Eastern Freeway Start</c:v>
                </c:pt>
                <c:pt idx="7">
                  <c:v>Goregaon</c:v>
                </c:pt>
                <c:pt idx="8">
                  <c:v>Kalyan</c:v>
                </c:pt>
              </c:strCache>
            </c:strRef>
          </c:cat>
          <c:val>
            <c:numRef>
              <c:f>'source destination '!$F$3:$F$12</c:f>
              <c:numCache>
                <c:formatCode>General</c:formatCode>
                <c:ptCount val="9"/>
                <c:pt idx="0">
                  <c:v>2.65</c:v>
                </c:pt>
                <c:pt idx="3">
                  <c:v>1</c:v>
                </c:pt>
                <c:pt idx="4">
                  <c:v>1.68</c:v>
                </c:pt>
                <c:pt idx="5">
                  <c:v>2.4400000000000004</c:v>
                </c:pt>
                <c:pt idx="6">
                  <c:v>0.94</c:v>
                </c:pt>
                <c:pt idx="7">
                  <c:v>2.7399999999999998</c:v>
                </c:pt>
                <c:pt idx="8">
                  <c:v>1.1300000000000001</c:v>
                </c:pt>
              </c:numCache>
            </c:numRef>
          </c:val>
          <c:extLst>
            <c:ext xmlns:c16="http://schemas.microsoft.com/office/drawing/2014/chart" uri="{C3380CC4-5D6E-409C-BE32-E72D297353CC}">
              <c16:uniqueId val="{00000004-7769-4EB6-99C2-588BA00FA7A4}"/>
            </c:ext>
          </c:extLst>
        </c:ser>
        <c:dLbls>
          <c:showLegendKey val="0"/>
          <c:showVal val="0"/>
          <c:showCatName val="0"/>
          <c:showSerName val="0"/>
          <c:showPercent val="0"/>
          <c:showBubbleSize val="0"/>
        </c:dLbls>
        <c:gapWidth val="219"/>
        <c:overlap val="-27"/>
        <c:axId val="1969807855"/>
        <c:axId val="1969809775"/>
      </c:barChart>
      <c:catAx>
        <c:axId val="19698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09775"/>
        <c:crosses val="autoZero"/>
        <c:auto val="1"/>
        <c:lblAlgn val="ctr"/>
        <c:lblOffset val="100"/>
        <c:noMultiLvlLbl val="0"/>
      </c:catAx>
      <c:valAx>
        <c:axId val="196980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0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Dashboard.xlsx]avg travel tym by day of week!PivotTable7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Travel Time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9268254118837"/>
          <c:y val="0.18416447944007"/>
          <c:w val="0.54272703412073486"/>
          <c:h val="0.56004265091863525"/>
        </c:manualLayout>
      </c:layout>
      <c:lineChart>
        <c:grouping val="standard"/>
        <c:varyColors val="0"/>
        <c:ser>
          <c:idx val="0"/>
          <c:order val="0"/>
          <c:tx>
            <c:strRef>
              <c:f>'avg travel tym by day of week'!$B$1</c:f>
              <c:strCache>
                <c:ptCount val="1"/>
                <c:pt idx="0">
                  <c:v>Total</c:v>
                </c:pt>
              </c:strCache>
            </c:strRef>
          </c:tx>
          <c:spPr>
            <a:ln w="28575" cap="rnd">
              <a:solidFill>
                <a:schemeClr val="accent1"/>
              </a:solidFill>
              <a:round/>
            </a:ln>
            <a:effectLst/>
          </c:spPr>
          <c:marker>
            <c:symbol val="none"/>
          </c:marker>
          <c:cat>
            <c:strRef>
              <c:f>'avg travel tym by day of week'!$A$2:$A$9</c:f>
              <c:strCache>
                <c:ptCount val="7"/>
                <c:pt idx="0">
                  <c:v>Sunday</c:v>
                </c:pt>
                <c:pt idx="1">
                  <c:v>Monday</c:v>
                </c:pt>
                <c:pt idx="2">
                  <c:v>Tuesday</c:v>
                </c:pt>
                <c:pt idx="3">
                  <c:v>Wednesday</c:v>
                </c:pt>
                <c:pt idx="4">
                  <c:v>Thursday</c:v>
                </c:pt>
                <c:pt idx="5">
                  <c:v>Friday</c:v>
                </c:pt>
                <c:pt idx="6">
                  <c:v>Saturday</c:v>
                </c:pt>
              </c:strCache>
            </c:strRef>
          </c:cat>
          <c:val>
            <c:numRef>
              <c:f>'avg travel tym by day of week'!$B$2:$B$9</c:f>
              <c:numCache>
                <c:formatCode>General</c:formatCode>
                <c:ptCount val="7"/>
                <c:pt idx="0">
                  <c:v>110.59820627802681</c:v>
                </c:pt>
                <c:pt idx="1">
                  <c:v>118.57270194986076</c:v>
                </c:pt>
                <c:pt idx="2">
                  <c:v>131.03510638297877</c:v>
                </c:pt>
                <c:pt idx="3">
                  <c:v>107.00810055865921</c:v>
                </c:pt>
                <c:pt idx="4">
                  <c:v>106.12918287937748</c:v>
                </c:pt>
                <c:pt idx="5">
                  <c:v>112.37192982456141</c:v>
                </c:pt>
                <c:pt idx="6">
                  <c:v>122.81333333333333</c:v>
                </c:pt>
              </c:numCache>
            </c:numRef>
          </c:val>
          <c:smooth val="0"/>
          <c:extLst>
            <c:ext xmlns:c16="http://schemas.microsoft.com/office/drawing/2014/chart" uri="{C3380CC4-5D6E-409C-BE32-E72D297353CC}">
              <c16:uniqueId val="{00000000-E1B5-428A-A3B9-3985D2E2B2E7}"/>
            </c:ext>
          </c:extLst>
        </c:ser>
        <c:dLbls>
          <c:showLegendKey val="0"/>
          <c:showVal val="0"/>
          <c:showCatName val="0"/>
          <c:showSerName val="0"/>
          <c:showPercent val="0"/>
          <c:showBubbleSize val="0"/>
        </c:dLbls>
        <c:smooth val="0"/>
        <c:axId val="1612579168"/>
        <c:axId val="1612582048"/>
      </c:lineChart>
      <c:catAx>
        <c:axId val="16125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82048"/>
        <c:crosses val="autoZero"/>
        <c:auto val="1"/>
        <c:lblAlgn val="ctr"/>
        <c:lblOffset val="100"/>
        <c:noMultiLvlLbl val="0"/>
      </c:catAx>
      <c:valAx>
        <c:axId val="161258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Actual</a:t>
                </a:r>
                <a:r>
                  <a:rPr lang="en-IN" baseline="0"/>
                  <a:t> travel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9168"/>
        <c:crosses val="autoZero"/>
        <c:crossBetween val="between"/>
      </c:valAx>
      <c:spPr>
        <a:noFill/>
        <a:ln>
          <a:noFill/>
        </a:ln>
        <a:effectLst/>
      </c:spPr>
    </c:plotArea>
    <c:legend>
      <c:legendPos val="r"/>
      <c:layout>
        <c:manualLayout>
          <c:xMode val="edge"/>
          <c:yMode val="edge"/>
          <c:x val="0.68744403937459619"/>
          <c:y val="0.28377187226596673"/>
          <c:w val="0.29534425666671182"/>
          <c:h val="0.40509477981918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Mobility Analysis Dashboard.xlsx]impact of festival and weather!PivotTable1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a:t>
            </a:r>
            <a:r>
              <a:rPr lang="en-IN" sz="1400" b="0" i="0" u="none" strike="noStrike" baseline="0"/>
              <a:t>mpact of Festivals and Weather on Congestion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95420905004897E-2"/>
          <c:y val="0.14931098696461825"/>
          <c:w val="0.78583699107773453"/>
          <c:h val="0.48021701197964789"/>
        </c:manualLayout>
      </c:layout>
      <c:barChart>
        <c:barDir val="col"/>
        <c:grouping val="clustered"/>
        <c:varyColors val="0"/>
        <c:ser>
          <c:idx val="0"/>
          <c:order val="0"/>
          <c:tx>
            <c:strRef>
              <c:f>'impact of festival and weather'!$B$1:$B$2</c:f>
              <c:strCache>
                <c:ptCount val="1"/>
                <c:pt idx="0">
                  <c:v>Clear</c:v>
                </c:pt>
              </c:strCache>
            </c:strRef>
          </c:tx>
          <c:spPr>
            <a:solidFill>
              <a:schemeClr val="accent1"/>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weather'!$B$3:$B$13</c:f>
              <c:numCache>
                <c:formatCode>General</c:formatCode>
                <c:ptCount val="10"/>
                <c:pt idx="0">
                  <c:v>38.229999999999997</c:v>
                </c:pt>
                <c:pt idx="1">
                  <c:v>66.850000000000009</c:v>
                </c:pt>
                <c:pt idx="2">
                  <c:v>59.68</c:v>
                </c:pt>
                <c:pt idx="3">
                  <c:v>8.9499999999999993</c:v>
                </c:pt>
                <c:pt idx="4">
                  <c:v>49.870000000000005</c:v>
                </c:pt>
                <c:pt idx="5">
                  <c:v>53.780000000000008</c:v>
                </c:pt>
                <c:pt idx="6">
                  <c:v>9.23</c:v>
                </c:pt>
                <c:pt idx="7">
                  <c:v>8.35</c:v>
                </c:pt>
                <c:pt idx="8">
                  <c:v>66.720000000000013</c:v>
                </c:pt>
                <c:pt idx="9">
                  <c:v>50.280000000000015</c:v>
                </c:pt>
              </c:numCache>
            </c:numRef>
          </c:val>
          <c:extLst>
            <c:ext xmlns:c16="http://schemas.microsoft.com/office/drawing/2014/chart" uri="{C3380CC4-5D6E-409C-BE32-E72D297353CC}">
              <c16:uniqueId val="{00000000-6B67-4927-8B85-2DE5DAB86C1F}"/>
            </c:ext>
          </c:extLst>
        </c:ser>
        <c:ser>
          <c:idx val="1"/>
          <c:order val="1"/>
          <c:tx>
            <c:strRef>
              <c:f>'impact of festival and weather'!$C$1:$C$2</c:f>
              <c:strCache>
                <c:ptCount val="1"/>
                <c:pt idx="0">
                  <c:v>Cloudy</c:v>
                </c:pt>
              </c:strCache>
            </c:strRef>
          </c:tx>
          <c:spPr>
            <a:solidFill>
              <a:schemeClr val="accent2"/>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weather'!$C$3:$C$13</c:f>
              <c:numCache>
                <c:formatCode>General</c:formatCode>
                <c:ptCount val="10"/>
                <c:pt idx="0">
                  <c:v>31.1</c:v>
                </c:pt>
                <c:pt idx="1">
                  <c:v>22.249999999999996</c:v>
                </c:pt>
                <c:pt idx="2">
                  <c:v>21.02</c:v>
                </c:pt>
                <c:pt idx="3">
                  <c:v>14.82</c:v>
                </c:pt>
                <c:pt idx="4">
                  <c:v>22.51</c:v>
                </c:pt>
                <c:pt idx="5">
                  <c:v>19.080000000000002</c:v>
                </c:pt>
                <c:pt idx="6">
                  <c:v>17.27</c:v>
                </c:pt>
                <c:pt idx="7">
                  <c:v>18.619999999999994</c:v>
                </c:pt>
                <c:pt idx="8">
                  <c:v>14.330000000000002</c:v>
                </c:pt>
                <c:pt idx="9">
                  <c:v>25.03</c:v>
                </c:pt>
              </c:numCache>
            </c:numRef>
          </c:val>
          <c:extLst>
            <c:ext xmlns:c16="http://schemas.microsoft.com/office/drawing/2014/chart" uri="{C3380CC4-5D6E-409C-BE32-E72D297353CC}">
              <c16:uniqueId val="{00000002-6B67-4927-8B85-2DE5DAB86C1F}"/>
            </c:ext>
          </c:extLst>
        </c:ser>
        <c:ser>
          <c:idx val="2"/>
          <c:order val="2"/>
          <c:tx>
            <c:strRef>
              <c:f>'impact of festival and weather'!$D$1:$D$2</c:f>
              <c:strCache>
                <c:ptCount val="1"/>
                <c:pt idx="0">
                  <c:v>Fog</c:v>
                </c:pt>
              </c:strCache>
            </c:strRef>
          </c:tx>
          <c:spPr>
            <a:solidFill>
              <a:schemeClr val="accent3"/>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weather'!$D$3:$D$13</c:f>
              <c:numCache>
                <c:formatCode>General</c:formatCode>
                <c:ptCount val="10"/>
                <c:pt idx="0">
                  <c:v>21.040000000000003</c:v>
                </c:pt>
              </c:numCache>
            </c:numRef>
          </c:val>
          <c:extLst>
            <c:ext xmlns:c16="http://schemas.microsoft.com/office/drawing/2014/chart" uri="{C3380CC4-5D6E-409C-BE32-E72D297353CC}">
              <c16:uniqueId val="{00000003-6B67-4927-8B85-2DE5DAB86C1F}"/>
            </c:ext>
          </c:extLst>
        </c:ser>
        <c:ser>
          <c:idx val="3"/>
          <c:order val="3"/>
          <c:tx>
            <c:strRef>
              <c:f>'impact of festival and weather'!$E$1:$E$2</c:f>
              <c:strCache>
                <c:ptCount val="1"/>
                <c:pt idx="0">
                  <c:v>Heavy Rain</c:v>
                </c:pt>
              </c:strCache>
            </c:strRef>
          </c:tx>
          <c:spPr>
            <a:solidFill>
              <a:schemeClr val="accent4"/>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weather'!$E$3:$E$13</c:f>
              <c:numCache>
                <c:formatCode>General</c:formatCode>
                <c:ptCount val="10"/>
                <c:pt idx="0">
                  <c:v>11.98</c:v>
                </c:pt>
                <c:pt idx="1">
                  <c:v>12.84</c:v>
                </c:pt>
                <c:pt idx="2">
                  <c:v>10.23</c:v>
                </c:pt>
                <c:pt idx="3">
                  <c:v>40.850000000000009</c:v>
                </c:pt>
                <c:pt idx="4">
                  <c:v>14.009999999999998</c:v>
                </c:pt>
                <c:pt idx="5">
                  <c:v>15.83</c:v>
                </c:pt>
                <c:pt idx="6">
                  <c:v>39.949999999999989</c:v>
                </c:pt>
                <c:pt idx="7">
                  <c:v>42.69</c:v>
                </c:pt>
                <c:pt idx="8">
                  <c:v>14.9</c:v>
                </c:pt>
                <c:pt idx="9">
                  <c:v>23.67</c:v>
                </c:pt>
              </c:numCache>
            </c:numRef>
          </c:val>
          <c:extLst>
            <c:ext xmlns:c16="http://schemas.microsoft.com/office/drawing/2014/chart" uri="{C3380CC4-5D6E-409C-BE32-E72D297353CC}">
              <c16:uniqueId val="{00000004-6B67-4927-8B85-2DE5DAB86C1F}"/>
            </c:ext>
          </c:extLst>
        </c:ser>
        <c:ser>
          <c:idx val="4"/>
          <c:order val="4"/>
          <c:tx>
            <c:strRef>
              <c:f>'impact of festival and weather'!$F$1:$F$2</c:f>
              <c:strCache>
                <c:ptCount val="1"/>
                <c:pt idx="0">
                  <c:v>Rain</c:v>
                </c:pt>
              </c:strCache>
            </c:strRef>
          </c:tx>
          <c:spPr>
            <a:solidFill>
              <a:schemeClr val="accent5"/>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weather'!$F$3:$F$13</c:f>
              <c:numCache>
                <c:formatCode>General</c:formatCode>
                <c:ptCount val="10"/>
                <c:pt idx="0">
                  <c:v>9.6599999999999984</c:v>
                </c:pt>
                <c:pt idx="1">
                  <c:v>10.500000000000002</c:v>
                </c:pt>
                <c:pt idx="2">
                  <c:v>15.91</c:v>
                </c:pt>
                <c:pt idx="3">
                  <c:v>52.829999999999991</c:v>
                </c:pt>
                <c:pt idx="4">
                  <c:v>5.9899999999999993</c:v>
                </c:pt>
                <c:pt idx="5">
                  <c:v>8.5500000000000007</c:v>
                </c:pt>
                <c:pt idx="6">
                  <c:v>42.300000000000004</c:v>
                </c:pt>
                <c:pt idx="7">
                  <c:v>51.809999999999988</c:v>
                </c:pt>
                <c:pt idx="8">
                  <c:v>8.11</c:v>
                </c:pt>
                <c:pt idx="9">
                  <c:v>9.16</c:v>
                </c:pt>
              </c:numCache>
            </c:numRef>
          </c:val>
          <c:extLst>
            <c:ext xmlns:c16="http://schemas.microsoft.com/office/drawing/2014/chart" uri="{C3380CC4-5D6E-409C-BE32-E72D297353CC}">
              <c16:uniqueId val="{00000005-6B67-4927-8B85-2DE5DAB86C1F}"/>
            </c:ext>
          </c:extLst>
        </c:ser>
        <c:ser>
          <c:idx val="5"/>
          <c:order val="5"/>
          <c:tx>
            <c:strRef>
              <c:f>'impact of festival and weather'!$G$1:$G$2</c:f>
              <c:strCache>
                <c:ptCount val="1"/>
                <c:pt idx="0">
                  <c:v>Storm</c:v>
                </c:pt>
              </c:strCache>
            </c:strRef>
          </c:tx>
          <c:spPr>
            <a:solidFill>
              <a:schemeClr val="accent6"/>
            </a:solidFill>
            <a:ln>
              <a:noFill/>
            </a:ln>
            <a:effectLst/>
          </c:spPr>
          <c:invertIfNegative val="0"/>
          <c:cat>
            <c:strRef>
              <c:f>'impact of festival and weather'!$A$3:$A$13</c:f>
              <c:strCache>
                <c:ptCount val="10"/>
                <c:pt idx="0">
                  <c:v>Christmas/NewYear</c:v>
                </c:pt>
                <c:pt idx="1">
                  <c:v>Diwali</c:v>
                </c:pt>
                <c:pt idx="2">
                  <c:v>Eid</c:v>
                </c:pt>
                <c:pt idx="3">
                  <c:v>Ganesh Chaturthi</c:v>
                </c:pt>
                <c:pt idx="4">
                  <c:v>Gudi Padwa</c:v>
                </c:pt>
                <c:pt idx="5">
                  <c:v>Holi</c:v>
                </c:pt>
                <c:pt idx="6">
                  <c:v>Independence Day</c:v>
                </c:pt>
                <c:pt idx="7">
                  <c:v>Janmashtami</c:v>
                </c:pt>
                <c:pt idx="8">
                  <c:v>Navratri</c:v>
                </c:pt>
                <c:pt idx="9">
                  <c:v>Ramadan Evenings</c:v>
                </c:pt>
              </c:strCache>
            </c:strRef>
          </c:cat>
          <c:val>
            <c:numRef>
              <c:f>'impact of festival and weather'!$G$3:$G$13</c:f>
              <c:numCache>
                <c:formatCode>General</c:formatCode>
                <c:ptCount val="10"/>
                <c:pt idx="0">
                  <c:v>18.759999999999998</c:v>
                </c:pt>
                <c:pt idx="1">
                  <c:v>8.57</c:v>
                </c:pt>
                <c:pt idx="2">
                  <c:v>13.700000000000001</c:v>
                </c:pt>
                <c:pt idx="3">
                  <c:v>13.34</c:v>
                </c:pt>
                <c:pt idx="4">
                  <c:v>13.55</c:v>
                </c:pt>
                <c:pt idx="5">
                  <c:v>12.43</c:v>
                </c:pt>
                <c:pt idx="6">
                  <c:v>14.469999999999999</c:v>
                </c:pt>
                <c:pt idx="7">
                  <c:v>11.379999999999999</c:v>
                </c:pt>
                <c:pt idx="8">
                  <c:v>10.18</c:v>
                </c:pt>
                <c:pt idx="9">
                  <c:v>14.06</c:v>
                </c:pt>
              </c:numCache>
            </c:numRef>
          </c:val>
          <c:extLst>
            <c:ext xmlns:c16="http://schemas.microsoft.com/office/drawing/2014/chart" uri="{C3380CC4-5D6E-409C-BE32-E72D297353CC}">
              <c16:uniqueId val="{00000006-6B67-4927-8B85-2DE5DAB86C1F}"/>
            </c:ext>
          </c:extLst>
        </c:ser>
        <c:dLbls>
          <c:showLegendKey val="0"/>
          <c:showVal val="0"/>
          <c:showCatName val="0"/>
          <c:showSerName val="0"/>
          <c:showPercent val="0"/>
          <c:showBubbleSize val="0"/>
        </c:dLbls>
        <c:gapWidth val="219"/>
        <c:overlap val="-27"/>
        <c:axId val="1383002752"/>
        <c:axId val="1383003232"/>
      </c:barChart>
      <c:catAx>
        <c:axId val="138300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Festival</a:t>
                </a:r>
                <a:r>
                  <a:rPr lang="en-IN" baseline="0"/>
                  <a:t> and weather condition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03232"/>
        <c:crosses val="autoZero"/>
        <c:auto val="1"/>
        <c:lblAlgn val="ctr"/>
        <c:lblOffset val="100"/>
        <c:noMultiLvlLbl val="0"/>
      </c:catAx>
      <c:valAx>
        <c:axId val="138300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Congestion</a:t>
                </a:r>
                <a:r>
                  <a:rPr lang="en-IN" baseline="0"/>
                  <a:t> index</a:t>
                </a:r>
                <a:endParaRPr lang="en-IN"/>
              </a:p>
            </c:rich>
          </c:tx>
          <c:layout>
            <c:manualLayout>
              <c:xMode val="edge"/>
              <c:yMode val="edge"/>
              <c:x val="1.2939491650966943E-2"/>
              <c:y val="0.44901890057038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02752"/>
        <c:crosses val="autoZero"/>
        <c:crossBetween val="between"/>
      </c:valAx>
      <c:spPr>
        <a:noFill/>
        <a:ln>
          <a:noFill/>
        </a:ln>
        <a:effectLst/>
      </c:spPr>
    </c:plotArea>
    <c:legend>
      <c:legendPos val="r"/>
      <c:layout>
        <c:manualLayout>
          <c:xMode val="edge"/>
          <c:yMode val="edge"/>
          <c:x val="0.89701228556916146"/>
          <c:y val="0.50808135016642475"/>
          <c:w val="7.4038514075486131E-2"/>
          <c:h val="0.377097611401926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342900</xdr:colOff>
      <xdr:row>4</xdr:row>
      <xdr:rowOff>7620</xdr:rowOff>
    </xdr:from>
    <xdr:to>
      <xdr:col>9</xdr:col>
      <xdr:colOff>586740</xdr:colOff>
      <xdr:row>15</xdr:row>
      <xdr:rowOff>137160</xdr:rowOff>
    </xdr:to>
    <xdr:graphicFrame macro="">
      <xdr:nvGraphicFramePr>
        <xdr:cNvPr id="3" name="Chart 2">
          <a:extLst>
            <a:ext uri="{FF2B5EF4-FFF2-40B4-BE49-F238E27FC236}">
              <a16:creationId xmlns:a16="http://schemas.microsoft.com/office/drawing/2014/main" id="{0179C56B-5423-4EA0-92B9-00C4619CB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114300</xdr:colOff>
      <xdr:row>4</xdr:row>
      <xdr:rowOff>7620</xdr:rowOff>
    </xdr:from>
    <xdr:to>
      <xdr:col>22</xdr:col>
      <xdr:colOff>571500</xdr:colOff>
      <xdr:row>15</xdr:row>
      <xdr:rowOff>99060</xdr:rowOff>
    </xdr:to>
    <xdr:graphicFrame macro="">
      <xdr:nvGraphicFramePr>
        <xdr:cNvPr id="4" name="Chart 3">
          <a:extLst>
            <a:ext uri="{FF2B5EF4-FFF2-40B4-BE49-F238E27FC236}">
              <a16:creationId xmlns:a16="http://schemas.microsoft.com/office/drawing/2014/main" id="{AD47CED7-DD93-4E01-989F-D18D9EDDD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594360</xdr:colOff>
      <xdr:row>4</xdr:row>
      <xdr:rowOff>7620</xdr:rowOff>
    </xdr:from>
    <xdr:to>
      <xdr:col>16</xdr:col>
      <xdr:colOff>114300</xdr:colOff>
      <xdr:row>15</xdr:row>
      <xdr:rowOff>129540</xdr:rowOff>
    </xdr:to>
    <xdr:graphicFrame macro="">
      <xdr:nvGraphicFramePr>
        <xdr:cNvPr id="5" name="Chart 4">
          <a:extLst>
            <a:ext uri="{FF2B5EF4-FFF2-40B4-BE49-F238E27FC236}">
              <a16:creationId xmlns:a16="http://schemas.microsoft.com/office/drawing/2014/main" id="{DE60EDEA-BD19-4EF1-AEBC-E3334E729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15</xdr:row>
      <xdr:rowOff>114300</xdr:rowOff>
    </xdr:from>
    <xdr:to>
      <xdr:col>22</xdr:col>
      <xdr:colOff>601980</xdr:colOff>
      <xdr:row>30</xdr:row>
      <xdr:rowOff>91440</xdr:rowOff>
    </xdr:to>
    <xdr:graphicFrame macro="">
      <xdr:nvGraphicFramePr>
        <xdr:cNvPr id="6" name="Chart 5">
          <a:extLst>
            <a:ext uri="{FF2B5EF4-FFF2-40B4-BE49-F238E27FC236}">
              <a16:creationId xmlns:a16="http://schemas.microsoft.com/office/drawing/2014/main" id="{9CC28885-F400-4AB3-9ECC-D9E3D6221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4</xdr:col>
      <xdr:colOff>358140</xdr:colOff>
      <xdr:row>15</xdr:row>
      <xdr:rowOff>144780</xdr:rowOff>
    </xdr:to>
    <xdr:graphicFrame macro="">
      <xdr:nvGraphicFramePr>
        <xdr:cNvPr id="8" name="Chart 7">
          <a:extLst>
            <a:ext uri="{FF2B5EF4-FFF2-40B4-BE49-F238E27FC236}">
              <a16:creationId xmlns:a16="http://schemas.microsoft.com/office/drawing/2014/main" id="{401128CD-4FD3-4149-8FD8-F7C4E5BB6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518160</xdr:colOff>
      <xdr:row>0</xdr:row>
      <xdr:rowOff>53340</xdr:rowOff>
    </xdr:from>
    <xdr:to>
      <xdr:col>22</xdr:col>
      <xdr:colOff>518160</xdr:colOff>
      <xdr:row>3</xdr:row>
      <xdr:rowOff>91440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69C91446-AC46-03E5-40B0-D7D845D73D6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100560" y="53340"/>
              <a:ext cx="1828800"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0</xdr:row>
      <xdr:rowOff>53341</xdr:rowOff>
    </xdr:from>
    <xdr:to>
      <xdr:col>12</xdr:col>
      <xdr:colOff>441960</xdr:colOff>
      <xdr:row>3</xdr:row>
      <xdr:rowOff>106680</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AD3C7F4B-1311-60A3-9AB0-40027C0B987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583680" y="53341"/>
              <a:ext cx="1173480" cy="612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274320</xdr:colOff>
      <xdr:row>0</xdr:row>
      <xdr:rowOff>53341</xdr:rowOff>
    </xdr:from>
    <xdr:to>
      <xdr:col>10</xdr:col>
      <xdr:colOff>274320</xdr:colOff>
      <xdr:row>3</xdr:row>
      <xdr:rowOff>106681</xdr:rowOff>
    </xdr:to>
    <mc:AlternateContent xmlns:mc="http://schemas.openxmlformats.org/markup-compatibility/2006" xmlns:a14="http://schemas.microsoft.com/office/drawing/2010/main">
      <mc:Choice Requires="a14">
        <xdr:graphicFrame macro="">
          <xdr:nvGraphicFramePr>
            <xdr:cNvPr id="10" name="day_of_week">
              <a:extLst>
                <a:ext uri="{FF2B5EF4-FFF2-40B4-BE49-F238E27FC236}">
                  <a16:creationId xmlns:a16="http://schemas.microsoft.com/office/drawing/2014/main" id="{5E6DE9A2-CBD1-BACE-4C2D-8D96831C4D88}"/>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4541520" y="53341"/>
              <a:ext cx="1828800" cy="61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0</xdr:row>
      <xdr:rowOff>76201</xdr:rowOff>
    </xdr:from>
    <xdr:to>
      <xdr:col>16</xdr:col>
      <xdr:colOff>76200</xdr:colOff>
      <xdr:row>3</xdr:row>
      <xdr:rowOff>91440</xdr:rowOff>
    </xdr:to>
    <mc:AlternateContent xmlns:mc="http://schemas.openxmlformats.org/markup-compatibility/2006" xmlns:a14="http://schemas.microsoft.com/office/drawing/2010/main">
      <mc:Choice Requires="a14">
        <xdr:graphicFrame macro="">
          <xdr:nvGraphicFramePr>
            <xdr:cNvPr id="11" name="festival">
              <a:extLst>
                <a:ext uri="{FF2B5EF4-FFF2-40B4-BE49-F238E27FC236}">
                  <a16:creationId xmlns:a16="http://schemas.microsoft.com/office/drawing/2014/main" id="{69B5378E-4F01-3D8C-89E7-A97AD2AAFB02}"/>
                </a:ext>
              </a:extLst>
            </xdr:cNvPr>
            <xdr:cNvGraphicFramePr/>
          </xdr:nvGraphicFramePr>
          <xdr:xfrm>
            <a:off x="0" y="0"/>
            <a:ext cx="0" cy="0"/>
          </xdr:xfrm>
          <a:graphic>
            <a:graphicData uri="http://schemas.microsoft.com/office/drawing/2010/slicer">
              <sle:slicer xmlns:sle="http://schemas.microsoft.com/office/drawing/2010/slicer" name="festival"/>
            </a:graphicData>
          </a:graphic>
        </xdr:graphicFrame>
      </mc:Choice>
      <mc:Fallback xmlns="">
        <xdr:sp macro="" textlink="">
          <xdr:nvSpPr>
            <xdr:cNvPr id="0" name=""/>
            <xdr:cNvSpPr>
              <a:spLocks noTextEdit="1"/>
            </xdr:cNvSpPr>
          </xdr:nvSpPr>
          <xdr:spPr>
            <a:xfrm>
              <a:off x="8001000" y="76201"/>
              <a:ext cx="1828800" cy="57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281940</xdr:colOff>
      <xdr:row>0</xdr:row>
      <xdr:rowOff>60961</xdr:rowOff>
    </xdr:from>
    <xdr:to>
      <xdr:col>19</xdr:col>
      <xdr:colOff>281940</xdr:colOff>
      <xdr:row>3</xdr:row>
      <xdr:rowOff>106680</xdr:rowOff>
    </xdr:to>
    <mc:AlternateContent xmlns:mc="http://schemas.openxmlformats.org/markup-compatibility/2006" xmlns:a14="http://schemas.microsoft.com/office/drawing/2010/main">
      <mc:Choice Requires="a14">
        <xdr:graphicFrame macro="">
          <xdr:nvGraphicFramePr>
            <xdr:cNvPr id="13" name="weather">
              <a:extLst>
                <a:ext uri="{FF2B5EF4-FFF2-40B4-BE49-F238E27FC236}">
                  <a16:creationId xmlns:a16="http://schemas.microsoft.com/office/drawing/2014/main" id="{B867013B-E927-8C5A-983F-197964AA8883}"/>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10035540" y="60961"/>
              <a:ext cx="1828800" cy="60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118533</xdr:rowOff>
    </xdr:from>
    <xdr:to>
      <xdr:col>16</xdr:col>
      <xdr:colOff>372532</xdr:colOff>
      <xdr:row>30</xdr:row>
      <xdr:rowOff>127000</xdr:rowOff>
    </xdr:to>
    <xdr:graphicFrame macro="">
      <xdr:nvGraphicFramePr>
        <xdr:cNvPr id="12" name="Chart 11">
          <a:extLst>
            <a:ext uri="{FF2B5EF4-FFF2-40B4-BE49-F238E27FC236}">
              <a16:creationId xmlns:a16="http://schemas.microsoft.com/office/drawing/2014/main" id="{1CC0484F-0E5B-4B99-8625-995977826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998220</xdr:colOff>
      <xdr:row>7</xdr:row>
      <xdr:rowOff>41910</xdr:rowOff>
    </xdr:from>
    <xdr:to>
      <xdr:col>10</xdr:col>
      <xdr:colOff>220980</xdr:colOff>
      <xdr:row>22</xdr:row>
      <xdr:rowOff>41910</xdr:rowOff>
    </xdr:to>
    <xdr:graphicFrame macro="">
      <xdr:nvGraphicFramePr>
        <xdr:cNvPr id="2" name="Chart 1">
          <a:extLst>
            <a:ext uri="{FF2B5EF4-FFF2-40B4-BE49-F238E27FC236}">
              <a16:creationId xmlns:a16="http://schemas.microsoft.com/office/drawing/2014/main" id="{273C040A-4332-F440-DD60-CE487F211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1470660</xdr:colOff>
      <xdr:row>7</xdr:row>
      <xdr:rowOff>41910</xdr:rowOff>
    </xdr:from>
    <xdr:to>
      <xdr:col>7</xdr:col>
      <xdr:colOff>403860</xdr:colOff>
      <xdr:row>22</xdr:row>
      <xdr:rowOff>41910</xdr:rowOff>
    </xdr:to>
    <xdr:graphicFrame macro="">
      <xdr:nvGraphicFramePr>
        <xdr:cNvPr id="2" name="Chart 1">
          <a:extLst>
            <a:ext uri="{FF2B5EF4-FFF2-40B4-BE49-F238E27FC236}">
              <a16:creationId xmlns:a16="http://schemas.microsoft.com/office/drawing/2014/main" id="{EF1D2EB3-B75D-EEC7-9DDB-CD49CDF8F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548640</xdr:colOff>
      <xdr:row>12</xdr:row>
      <xdr:rowOff>34290</xdr:rowOff>
    </xdr:from>
    <xdr:to>
      <xdr:col>10</xdr:col>
      <xdr:colOff>441960</xdr:colOff>
      <xdr:row>27</xdr:row>
      <xdr:rowOff>34290</xdr:rowOff>
    </xdr:to>
    <xdr:graphicFrame macro="">
      <xdr:nvGraphicFramePr>
        <xdr:cNvPr id="3" name="Chart 2">
          <a:extLst>
            <a:ext uri="{FF2B5EF4-FFF2-40B4-BE49-F238E27FC236}">
              <a16:creationId xmlns:a16="http://schemas.microsoft.com/office/drawing/2014/main" id="{1796708A-4F84-1269-CE3F-7C607C57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480060</xdr:colOff>
      <xdr:row>2</xdr:row>
      <xdr:rowOff>41910</xdr:rowOff>
    </xdr:from>
    <xdr:to>
      <xdr:col>14</xdr:col>
      <xdr:colOff>495300</xdr:colOff>
      <xdr:row>17</xdr:row>
      <xdr:rowOff>41910</xdr:rowOff>
    </xdr:to>
    <xdr:graphicFrame macro="">
      <xdr:nvGraphicFramePr>
        <xdr:cNvPr id="2" name="Chart 1">
          <a:extLst>
            <a:ext uri="{FF2B5EF4-FFF2-40B4-BE49-F238E27FC236}">
              <a16:creationId xmlns:a16="http://schemas.microsoft.com/office/drawing/2014/main" id="{94B59075-1AA5-FCAD-0811-B7CC021BE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1440180</xdr:colOff>
      <xdr:row>10</xdr:row>
      <xdr:rowOff>102870</xdr:rowOff>
    </xdr:from>
    <xdr:to>
      <xdr:col>8</xdr:col>
      <xdr:colOff>1630680</xdr:colOff>
      <xdr:row>25</xdr:row>
      <xdr:rowOff>102870</xdr:rowOff>
    </xdr:to>
    <xdr:graphicFrame macro="">
      <xdr:nvGraphicFramePr>
        <xdr:cNvPr id="2" name="Chart 1">
          <a:extLst>
            <a:ext uri="{FF2B5EF4-FFF2-40B4-BE49-F238E27FC236}">
              <a16:creationId xmlns:a16="http://schemas.microsoft.com/office/drawing/2014/main" id="{1937E507-690D-C1D5-9553-91F5A2296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167640</xdr:colOff>
      <xdr:row>4</xdr:row>
      <xdr:rowOff>34290</xdr:rowOff>
    </xdr:from>
    <xdr:to>
      <xdr:col>27</xdr:col>
      <xdr:colOff>38100</xdr:colOff>
      <xdr:row>22</xdr:row>
      <xdr:rowOff>152400</xdr:rowOff>
    </xdr:to>
    <xdr:graphicFrame macro="">
      <xdr:nvGraphicFramePr>
        <xdr:cNvPr id="2" name="Chart 1">
          <a:extLst>
            <a:ext uri="{FF2B5EF4-FFF2-40B4-BE49-F238E27FC236}">
              <a16:creationId xmlns:a16="http://schemas.microsoft.com/office/drawing/2014/main" id="{F86E892C-6375-7C96-9BCB-0E87BCA04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5.672331481481" createdVersion="5" refreshedVersion="8" minRefreshableVersion="3" recordCount="0" supportSubquery="1" supportAdvancedDrill="1" xr:uid="{A41ACDE3-84DF-432D-8951-C20AD2BD38DE}">
  <cacheSource type="external" connectionId="6"/>
  <cacheFields count="3">
    <cacheField name="[traffc].[source].[source]" caption="source" numFmtId="0" hierarchy="1" level="1">
      <sharedItems count="36">
        <s v="Airoli"/>
        <s v="Andheri"/>
        <s v="Bandra"/>
        <s v="Bandra Kurla Complex"/>
        <s v="Belapur"/>
        <s v="Bhandup"/>
        <s v="Borivali"/>
        <s v="Byculla"/>
        <s v="Chembur"/>
        <s v="Colaba"/>
        <s v="Crawford Market"/>
        <s v="CST"/>
        <s v="Dadar"/>
        <s v="Dombivli"/>
        <s v="Eastern Freeway Start"/>
        <s v="Fort"/>
        <s v="Ghatkopar"/>
        <s v="Girgaon"/>
        <s v="Goregaon"/>
        <s v="Juhu"/>
        <s v="Kalyan"/>
        <s v="Kurla"/>
        <s v="Lalbaug"/>
        <s v="Malad"/>
        <s v="Marine Lines"/>
        <s v="Matunga"/>
        <s v="Mohammad Ali Road"/>
        <s v="Mulund"/>
        <s v="Nerul"/>
        <s v="Panvel"/>
        <s v="Powai"/>
        <s v="Sion"/>
        <s v="Thane"/>
        <s v="Vashi"/>
        <s v="Western Express Highway"/>
        <s v="Worli"/>
      </sharedItems>
    </cacheField>
    <cacheField name="[traffc].[weather].[weather]" caption="weather" numFmtId="0" hierarchy="6" level="1">
      <sharedItems count="8">
        <s v="Clear"/>
        <s v="Cloudy"/>
        <s v="Fog"/>
        <s v="Heavy Rain"/>
        <s v="Rain"/>
        <s v="Rainy"/>
        <s v="Storm"/>
        <s v="Stormy"/>
      </sharedItems>
    </cacheField>
    <cacheField name="[Measures].[Count of weather]" caption="Count of weather" numFmtId="0" hierarchy="21" level="32767"/>
  </cacheFields>
  <cacheHierarchies count="25">
    <cacheHierarchy uniqueName="[traffc].[date]" caption="date" attribute="1" time="1" defaultMemberUniqueName="[traffc].[date].[All]" allUniqueName="[traffc].[date].[All]" dimensionUniqueName="[traffc]" displayFolder="" count="0" memberValueDatatype="7" unbalanced="0"/>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0" memberValueDatatype="130" unbalanced="0"/>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2" memberValueDatatype="130" unbalanced="0">
      <fieldsUsage count="2">
        <fieldUsage x="-1"/>
        <fieldUsage x="1"/>
      </fieldsUsage>
    </cacheHierarchy>
    <cacheHierarchy uniqueName="[traffc].[day_of_week]" caption="day_of_week" attribute="1" defaultMemberUniqueName="[traffc].[day_of_week].[All]" allUniqueName="[traffc].[day_of_week].[All]" dimensionUniqueName="[traffc]" displayFolder="" count="0" memberValueDatatype="130" unbalanced="0"/>
    <cacheHierarchy uniqueName="[traffc].[festival]" caption="festival" attribute="1" defaultMemberUniqueName="[traffc].[festival].[All]" allUniqueName="[traffc].[festival].[All]" dimensionUniqueName="[traffc]" displayFolder="" count="0" memberValueDatatype="130" unbalanced="0"/>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0" memberValueDatatype="130" unbalanced="0"/>
    <cacheHierarchy uniqueName="[traffc].[date (Year)]" caption="date (Year)" attribute="1" defaultMemberUniqueName="[traffc].[date (Year)].[All]" allUniqueName="[traffc].[date (Year)].[All]" dimensionUniqueName="[traffc]" displayFolder="" count="0" memberValueDatatype="130" unbalanced="0"/>
    <cacheHierarchy uniqueName="[traffc].[date (Quarter)]" caption="date (Quarter)" attribute="1" defaultMemberUniqueName="[traffc].[date (Quarter)].[All]" allUniqueName="[traffc].[date (Quarter)].[All]" dimensionUniqueName="[traffc]" displayFolder="" count="0" memberValueDatatype="130" unbalanced="0"/>
    <cacheHierarchy uniqueName="[traffc].[date (Month)]" caption="date (Month)" attribute="1" defaultMemberUniqueName="[traffc].[date (Month)].[All]" allUniqueName="[traffc].[date (Month)].[All]" dimensionUniqueName="[traffc]" displayFolder="" count="0" memberValueDatatype="130" unbalanced="0"/>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hidden="1">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5.672330555557" createdVersion="5" refreshedVersion="8" minRefreshableVersion="3" recordCount="0" supportSubquery="1" supportAdvancedDrill="1" xr:uid="{6DB9FFBF-4EBC-4722-ADC5-2CA3E31DB91C}">
  <cacheSource type="external" connectionId="6"/>
  <cacheFields count="3">
    <cacheField name="[traffc].[source].[source]" caption="source" numFmtId="0" hierarchy="1" level="1">
      <sharedItems count="36">
        <s v="Airoli"/>
        <s v="Andheri"/>
        <s v="Bandra"/>
        <s v="Bandra Kurla Complex"/>
        <s v="Belapur"/>
        <s v="Bhandup"/>
        <s v="Borivali"/>
        <s v="Byculla"/>
        <s v="Chembur"/>
        <s v="Colaba"/>
        <s v="Crawford Market"/>
        <s v="CST"/>
        <s v="Dadar"/>
        <s v="Dombivli"/>
        <s v="Eastern Freeway Start"/>
        <s v="Fort"/>
        <s v="Ghatkopar"/>
        <s v="Girgaon"/>
        <s v="Goregaon"/>
        <s v="Juhu"/>
        <s v="Kalyan"/>
        <s v="Kurla"/>
        <s v="Lalbaug"/>
        <s v="Malad"/>
        <s v="Marine Lines"/>
        <s v="Matunga"/>
        <s v="Mohammad Ali Road"/>
        <s v="Mulund"/>
        <s v="Nerul"/>
        <s v="Panvel"/>
        <s v="Powai"/>
        <s v="Sion"/>
        <s v="Thane"/>
        <s v="Vashi"/>
        <s v="Western Express Highway"/>
        <s v="Worli"/>
      </sharedItems>
    </cacheField>
    <cacheField name="[Measures].[Sum of actual_travel_time_min]" caption="Sum of actual_travel_time_min" numFmtId="0" hierarchy="20" level="32767"/>
    <cacheField name="[traffc].[road_type].[road_type]" caption="road_type" numFmtId="0" hierarchy="10" level="1">
      <sharedItems count="3">
        <s v="congested"/>
        <s v="freeway"/>
        <s v="urban"/>
      </sharedItems>
    </cacheField>
  </cacheFields>
  <cacheHierarchies count="25">
    <cacheHierarchy uniqueName="[traffc].[date]" caption="date" attribute="1" time="1" defaultMemberUniqueName="[traffc].[date].[All]" allUniqueName="[traffc].[date].[All]" dimensionUniqueName="[traffc]" displayFolder="" count="0" memberValueDatatype="7" unbalanced="0"/>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0" memberValueDatatype="130" unbalanced="0"/>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0" memberValueDatatype="130" unbalanced="0"/>
    <cacheHierarchy uniqueName="[traffc].[day_of_week]" caption="day_of_week" attribute="1" defaultMemberUniqueName="[traffc].[day_of_week].[All]" allUniqueName="[traffc].[day_of_week].[All]" dimensionUniqueName="[traffc]" displayFolder="" count="0" memberValueDatatype="130" unbalanced="0"/>
    <cacheHierarchy uniqueName="[traffc].[festival]" caption="festival" attribute="1" defaultMemberUniqueName="[traffc].[festival].[All]" allUniqueName="[traffc].[festival].[All]" dimensionUniqueName="[traffc]" displayFolder="" count="0" memberValueDatatype="130" unbalanced="0"/>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2" memberValueDatatype="130" unbalanced="0">
      <fieldsUsage count="2">
        <fieldUsage x="-1"/>
        <fieldUsage x="2"/>
      </fieldsUsage>
    </cacheHierarchy>
    <cacheHierarchy uniqueName="[traffc].[date (Year)]" caption="date (Year)" attribute="1" defaultMemberUniqueName="[traffc].[date (Year)].[All]" allUniqueName="[traffc].[date (Year)].[All]" dimensionUniqueName="[traffc]" displayFolder="" count="0" memberValueDatatype="130" unbalanced="0"/>
    <cacheHierarchy uniqueName="[traffc].[date (Quarter)]" caption="date (Quarter)" attribute="1" defaultMemberUniqueName="[traffc].[date (Quarter)].[All]" allUniqueName="[traffc].[date (Quarter)].[All]" dimensionUniqueName="[traffc]" displayFolder="" count="0" memberValueDatatype="130" unbalanced="0"/>
    <cacheHierarchy uniqueName="[traffc].[date (Month)]" caption="date (Month)" attribute="1" defaultMemberUniqueName="[traffc].[date (Month)].[All]" allUniqueName="[traffc].[date (Month)].[All]" dimensionUniqueName="[traffc]" displayFolder="" count="0" memberValueDatatype="130" unbalanced="0"/>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hidden="1">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5.944423842593" createdVersion="5" refreshedVersion="8" minRefreshableVersion="3" recordCount="0" supportSubquery="1" supportAdvancedDrill="1" xr:uid="{068019FC-0D7D-41DB-AA0F-5D19233DA92E}">
  <cacheSource type="external" connectionId="6"/>
  <cacheFields count="7">
    <cacheField name="[traffc].[source].[source]" caption="source" numFmtId="0" hierarchy="1" level="1">
      <sharedItems count="36">
        <s v="Airoli"/>
        <s v="Andheri"/>
        <s v="Bandra"/>
        <s v="Bandra Kurla Complex"/>
        <s v="Belapur"/>
        <s v="Bhandup"/>
        <s v="Borivali"/>
        <s v="Byculla"/>
        <s v="Chembur"/>
        <s v="Colaba"/>
        <s v="Crawford Market"/>
        <s v="CST"/>
        <s v="Dadar"/>
        <s v="Dombivli"/>
        <s v="Eastern Freeway Start"/>
        <s v="Fort"/>
        <s v="Ghatkopar"/>
        <s v="Girgaon"/>
        <s v="Goregaon"/>
        <s v="Juhu"/>
        <s v="Kalyan"/>
        <s v="Kurla"/>
        <s v="Lalbaug"/>
        <s v="Malad"/>
        <s v="Marine Lines"/>
        <s v="Matunga"/>
        <s v="Mohammad Ali Road"/>
        <s v="Mulund"/>
        <s v="Nerul"/>
        <s v="Panvel"/>
        <s v="Powai"/>
        <s v="Sion"/>
        <s v="Thane"/>
        <s v="Vashi"/>
        <s v="Western Express Highway"/>
        <s v="Worli"/>
      </sharedItems>
    </cacheField>
    <cacheField name="[traffc].[date (Month)].[date (Month)]" caption="date (Month)" numFmtId="0" hierarchy="13" level="1">
      <sharedItems count="9">
        <s v=""/>
        <s v="Aug"/>
        <s v="Sep"/>
        <s v="Oct"/>
        <s v="Mar"/>
        <s v="May"/>
        <s v="Dec"/>
        <s v="Nov"/>
        <s v="Apr"/>
      </sharedItems>
    </cacheField>
    <cacheField name="[traffc].[date].[date]" caption="date" numFmtId="0" level="1">
      <sharedItems containsSemiMixedTypes="0" containsNonDate="0" containsDate="1" containsString="0" minDate="2022-05-02T00:00:00" maxDate="2024-12-26T00:00:00" count="9">
        <d v="2022-05-02T00:00:00"/>
        <d v="2022-12-25T00:00:00"/>
        <d v="2023-09-19T00:00:00"/>
        <d v="2023-11-12T00:00:00"/>
        <d v="2024-04-10T00:00:00"/>
        <d v="2024-08-15T00:00:00"/>
        <d v="2024-08-26T00:00:00"/>
        <d v="2024-09-07T00:00:00"/>
        <d v="2024-12-25T00:00:00"/>
      </sharedItems>
    </cacheField>
    <cacheField name="[traffc].[date (Year)].[date (Year)]" caption="date (Year)" numFmtId="0" hierarchy="11" level="1">
      <sharedItems count="4">
        <s v=""/>
        <s v="2023"/>
        <s v="2022"/>
        <s v="2024"/>
      </sharedItems>
    </cacheField>
    <cacheField name="[traffc].[festival].[festival]" caption="festival" numFmtId="0" hierarchy="8" level="1">
      <sharedItems count="10">
        <s v="Christmas/NewYear"/>
        <s v="Diwali"/>
        <s v="Eid"/>
        <s v="Ganesh Chaturthi"/>
        <s v="Gudi Padwa"/>
        <s v="Holi"/>
        <s v="Independence Day"/>
        <s v="Janmashtami"/>
        <s v="Navratri"/>
        <s v="Ramadan Evenings"/>
      </sharedItems>
    </cacheField>
    <cacheField name="[traffc].[day_of_week].[day_of_week]" caption="day_of_week" numFmtId="0" hierarchy="7" level="1">
      <sharedItems count="7">
        <s v="Friday"/>
        <s v="Monday"/>
        <s v="Saturday"/>
        <s v="Sunday"/>
        <s v="Thursday"/>
        <s v="Tuesday"/>
        <s v="Wednesday"/>
      </sharedItems>
    </cacheField>
    <cacheField name="[Measures].[Average of actual_travel_time_min]" caption="Average of actual_travel_time_min" numFmtId="0" hierarchy="24" level="32767"/>
  </cacheFields>
  <cacheHierarchies count="25">
    <cacheHierarchy uniqueName="[traffc].[date]" caption="date" attribute="1" time="1" defaultMemberUniqueName="[traffc].[date].[All]" allUniqueName="[traffc].[date].[All]" dimensionUniqueName="[traffc]" displayFolder="" count="2" memberValueDatatype="7" unbalanced="0">
      <fieldsUsage count="2">
        <fieldUsage x="-1"/>
        <fieldUsage x="2"/>
      </fieldsUsage>
    </cacheHierarchy>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0" memberValueDatatype="130" unbalanced="0"/>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0" memberValueDatatype="130" unbalanced="0"/>
    <cacheHierarchy uniqueName="[traffc].[day_of_week]" caption="day_of_week" attribute="1" defaultMemberUniqueName="[traffc].[day_of_week].[All]" allUniqueName="[traffc].[day_of_week].[All]" dimensionUniqueName="[traffc]" displayFolder="" count="2" memberValueDatatype="130" unbalanced="0">
      <fieldsUsage count="2">
        <fieldUsage x="-1"/>
        <fieldUsage x="5"/>
      </fieldsUsage>
    </cacheHierarchy>
    <cacheHierarchy uniqueName="[traffc].[festival]" caption="festival" attribute="1" defaultMemberUniqueName="[traffc].[festival].[All]" allUniqueName="[traffc].[festival].[All]" dimensionUniqueName="[traffc]" displayFolder="" count="2" memberValueDatatype="130" unbalanced="0">
      <fieldsUsage count="2">
        <fieldUsage x="-1"/>
        <fieldUsage x="4"/>
      </fieldsUsage>
    </cacheHierarchy>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0" memberValueDatatype="130" unbalanced="0"/>
    <cacheHierarchy uniqueName="[traffc].[date (Year)]" caption="date (Year)" attribute="1" defaultMemberUniqueName="[traffc].[date (Year)].[All]" allUniqueName="[traffc].[date (Year)].[All]" dimensionUniqueName="[traffc]" displayFolder="" count="2" memberValueDatatype="130" unbalanced="0">
      <fieldsUsage count="2">
        <fieldUsage x="-1"/>
        <fieldUsage x="3"/>
      </fieldsUsage>
    </cacheHierarchy>
    <cacheHierarchy uniqueName="[traffc].[date (Quarter)]" caption="date (Quarter)" attribute="1" defaultMemberUniqueName="[traffc].[date (Quarter)].[All]" allUniqueName="[traffc].[date (Quarter)].[All]" dimensionUniqueName="[traffc]" displayFolder="" count="0" memberValueDatatype="130" unbalanced="0"/>
    <cacheHierarchy uniqueName="[traffc].[date (Month)]" caption="date (Month)" attribute="1" defaultMemberUniqueName="[traffc].[date (Month)].[All]" allUniqueName="[traffc].[date (Month)].[All]" dimensionUniqueName="[traffc]" displayFolder="" count="2" memberValueDatatype="130" unbalanced="0">
      <fieldsUsage count="2">
        <fieldUsage x="-1"/>
        <fieldUsage x="1"/>
      </fieldsUsage>
    </cacheHierarchy>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hidden="1">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oneField="1" hidden="1">
      <fieldsUsage count="1">
        <fieldUsage x="6"/>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5.947099537036" createdVersion="5" refreshedVersion="8" minRefreshableVersion="3" recordCount="0" supportSubquery="1" supportAdvancedDrill="1" xr:uid="{4E2ED5F1-61C8-487D-9BCA-BB0FA571C5A8}">
  <cacheSource type="external" connectionId="6"/>
  <cacheFields count="6">
    <cacheField name="[traffc].[source].[source]" caption="source" numFmtId="0" hierarchy="1" level="1">
      <sharedItems count="36">
        <s v="Airoli"/>
        <s v="Andheri"/>
        <s v="Bandra"/>
        <s v="Bandra Kurla Complex"/>
        <s v="Belapur"/>
        <s v="Bhandup"/>
        <s v="Borivali"/>
        <s v="Byculla"/>
        <s v="Chembur"/>
        <s v="Colaba"/>
        <s v="Crawford Market"/>
        <s v="CST"/>
        <s v="Dadar"/>
        <s v="Dombivli"/>
        <s v="Eastern Freeway Start"/>
        <s v="Fort"/>
        <s v="Ghatkopar"/>
        <s v="Girgaon"/>
        <s v="Goregaon"/>
        <s v="Juhu"/>
        <s v="Kalyan"/>
        <s v="Kurla"/>
        <s v="Lalbaug"/>
        <s v="Malad"/>
        <s v="Marine Lines"/>
        <s v="Matunga"/>
        <s v="Mohammad Ali Road"/>
        <s v="Mulund"/>
        <s v="Nerul"/>
        <s v="Panvel"/>
        <s v="Powai"/>
        <s v="Sion"/>
        <s v="Thane"/>
        <s v="Vashi"/>
        <s v="Western Express Highway"/>
        <s v="Worli"/>
      </sharedItems>
    </cacheField>
    <cacheField name="[traffc].[date (Month)].[date (Month)]" caption="date (Month)" numFmtId="0" hierarchy="13" level="1">
      <sharedItems count="2">
        <s v=""/>
        <s v="Aug"/>
      </sharedItems>
    </cacheField>
    <cacheField name="[traffc].[date].[date]" caption="date" numFmtId="0" level="1">
      <sharedItems containsSemiMixedTypes="0" containsNonDate="0" containsDate="1" containsString="0" minDate="2022-05-02T00:00:00" maxDate="2024-12-26T00:00:00" count="9">
        <d v="2022-05-02T00:00:00"/>
        <d v="2022-12-25T00:00:00"/>
        <d v="2023-09-19T00:00:00"/>
        <d v="2023-11-12T00:00:00"/>
        <d v="2024-04-10T00:00:00"/>
        <d v="2024-08-15T00:00:00"/>
        <d v="2024-08-26T00:00:00"/>
        <d v="2024-09-07T00:00:00"/>
        <d v="2024-12-25T00:00:00"/>
      </sharedItems>
    </cacheField>
    <cacheField name="[Measures].[Sum of congestion_index]" caption="Sum of congestion_index" numFmtId="0" hierarchy="19" level="32767"/>
    <cacheField name="[traffc].[date (Year)].[date (Year)]" caption="date (Year)" numFmtId="0" hierarchy="11" level="1">
      <sharedItems count="2">
        <s v=""/>
        <s v="2024"/>
      </sharedItems>
    </cacheField>
    <cacheField name="[traffc].[festival].[festival]" caption="festival" numFmtId="0" hierarchy="8" level="1">
      <sharedItems count="6">
        <s v="Christmas/NewYear"/>
        <s v="Diwali"/>
        <s v="Eid"/>
        <s v="Ganesh Chaturthi"/>
        <s v="Independence Day"/>
        <s v="Janmashtami"/>
      </sharedItems>
    </cacheField>
  </cacheFields>
  <cacheHierarchies count="25">
    <cacheHierarchy uniqueName="[traffc].[date]" caption="date" attribute="1" time="1" defaultMemberUniqueName="[traffc].[date].[All]" allUniqueName="[traffc].[date].[All]" dimensionUniqueName="[traffc]" displayFolder="" count="2" memberValueDatatype="7" unbalanced="0">
      <fieldsUsage count="2">
        <fieldUsage x="-1"/>
        <fieldUsage x="2"/>
      </fieldsUsage>
    </cacheHierarchy>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0" memberValueDatatype="130" unbalanced="0"/>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0" memberValueDatatype="130" unbalanced="0"/>
    <cacheHierarchy uniqueName="[traffc].[day_of_week]" caption="day_of_week" attribute="1" defaultMemberUniqueName="[traffc].[day_of_week].[All]" allUniqueName="[traffc].[day_of_week].[All]" dimensionUniqueName="[traffc]" displayFolder="" count="0" memberValueDatatype="130" unbalanced="0"/>
    <cacheHierarchy uniqueName="[traffc].[festival]" caption="festival" attribute="1" defaultMemberUniqueName="[traffc].[festival].[All]" allUniqueName="[traffc].[festival].[All]" dimensionUniqueName="[traffc]" displayFolder="" count="2" memberValueDatatype="130" unbalanced="0">
      <fieldsUsage count="2">
        <fieldUsage x="-1"/>
        <fieldUsage x="5"/>
      </fieldsUsage>
    </cacheHierarchy>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0" memberValueDatatype="130" unbalanced="0"/>
    <cacheHierarchy uniqueName="[traffc].[date (Year)]" caption="date (Year)" attribute="1" defaultMemberUniqueName="[traffc].[date (Year)].[All]" allUniqueName="[traffc].[date (Year)].[All]" dimensionUniqueName="[traffc]" displayFolder="" count="2" memberValueDatatype="130" unbalanced="0">
      <fieldsUsage count="2">
        <fieldUsage x="-1"/>
        <fieldUsage x="4"/>
      </fieldsUsage>
    </cacheHierarchy>
    <cacheHierarchy uniqueName="[traffc].[date (Quarter)]" caption="date (Quarter)" attribute="1" defaultMemberUniqueName="[traffc].[date (Quarter)].[All]" allUniqueName="[traffc].[date (Quarter)].[All]" dimensionUniqueName="[traffc]" displayFolder="" count="0" memberValueDatatype="130" unbalanced="0"/>
    <cacheHierarchy uniqueName="[traffc].[date (Month)]" caption="date (Month)" attribute="1" defaultMemberUniqueName="[traffc].[date (Month)].[All]" allUniqueName="[traffc].[date (Month)].[All]" dimensionUniqueName="[traffc]" displayFolder="" count="2" memberValueDatatype="130" unbalanced="0">
      <fieldsUsage count="2">
        <fieldUsage x="-1"/>
        <fieldUsage x="1"/>
      </fieldsUsage>
    </cacheHierarchy>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5.968246875003" createdVersion="5" refreshedVersion="8" minRefreshableVersion="3" recordCount="0" supportSubquery="1" supportAdvancedDrill="1" xr:uid="{118E0A83-F77B-4CB3-9EF5-1E307E0CAAD8}">
  <cacheSource type="external" connectionId="6"/>
  <cacheFields count="6">
    <cacheField name="[traffc].[source].[source]" caption="source" numFmtId="0" hierarchy="1" level="1">
      <sharedItems count="9">
        <s v="Andheri"/>
        <s v="Belapur"/>
        <s v="Dadar"/>
        <s v="Eastern Freeway Start"/>
        <s v="Fort"/>
        <s v="Goregaon"/>
        <s v="Juhu"/>
        <s v="Kalyan"/>
        <s v="Sion"/>
      </sharedItems>
    </cacheField>
    <cacheField name="[traffc].[date (Month)].[date (Month)]" caption="date (Month)" numFmtId="0" hierarchy="13" level="1">
      <sharedItems count="2">
        <s v=""/>
        <s v="Aug"/>
      </sharedItems>
    </cacheField>
    <cacheField name="[traffc].[date].[date]" caption="date" numFmtId="0" level="1">
      <sharedItems containsSemiMixedTypes="0" containsNonDate="0" containsDate="1" containsString="0" minDate="2022-05-02T00:00:00" maxDate="2024-12-26T00:00:00" count="9">
        <d v="2022-05-02T00:00:00"/>
        <d v="2022-12-25T00:00:00"/>
        <d v="2023-09-19T00:00:00"/>
        <d v="2023-11-12T00:00:00"/>
        <d v="2024-04-10T00:00:00"/>
        <d v="2024-08-15T00:00:00"/>
        <d v="2024-08-26T00:00:00"/>
        <d v="2024-09-07T00:00:00"/>
        <d v="2024-12-25T00:00:00"/>
      </sharedItems>
    </cacheField>
    <cacheField name="[traffc].[date (Year)].[date (Year)]" caption="date (Year)" numFmtId="0" hierarchy="11" level="1">
      <sharedItems count="2">
        <s v=""/>
        <s v="2024"/>
      </sharedItems>
    </cacheField>
    <cacheField name="[traffc].[destination].[destination]" caption="destination" numFmtId="0" hierarchy="2" level="1">
      <sharedItems containsBlank="1" count="37">
        <s v="Byculla"/>
        <s v="Colaba"/>
        <s v="Dadar"/>
        <s v="Ghatkopar"/>
        <s v="Juhu"/>
        <m u="1"/>
        <s v="Fort" u="1"/>
        <s v="Belapur" u="1"/>
        <s v="Chembur" u="1"/>
        <s v="Airoli" u="1"/>
        <s v="Andheri" u="1"/>
        <s v="Bandra" u="1"/>
        <s v="Bandra Kurla Complex" u="1"/>
        <s v="Bhandup" u="1"/>
        <s v="Borivali" u="1"/>
        <s v="Crawford Market" u="1"/>
        <s v="CST" u="1"/>
        <s v="Dombivli" u="1"/>
        <s v="Eastern Freeway Start" u="1"/>
        <s v="Girgaon" u="1"/>
        <s v="Goregaon" u="1"/>
        <s v="Kalyan" u="1"/>
        <s v="Kurla" u="1"/>
        <s v="Lalbaug" u="1"/>
        <s v="Malad" u="1"/>
        <s v="Marine Lines" u="1"/>
        <s v="Matunga" u="1"/>
        <s v="Mohammad Ali Road" u="1"/>
        <s v="Mulund" u="1"/>
        <s v="Nerul" u="1"/>
        <s v="Panvel" u="1"/>
        <s v="Powai" u="1"/>
        <s v="Sion" u="1"/>
        <s v="Thane" u="1"/>
        <s v="Vashi" u="1"/>
        <s v="Western Express Highway" u="1"/>
        <s v="Worli" u="1"/>
      </sharedItems>
    </cacheField>
    <cacheField name="[Measures].[Sum of congestion_index]" caption="Sum of congestion_index" numFmtId="0" hierarchy="19" level="32767"/>
  </cacheFields>
  <cacheHierarchies count="25">
    <cacheHierarchy uniqueName="[traffc].[date]" caption="date" attribute="1" time="1" defaultMemberUniqueName="[traffc].[date].[All]" allUniqueName="[traffc].[date].[All]" dimensionUniqueName="[traffc]" displayFolder="" count="2" memberValueDatatype="7" unbalanced="0">
      <fieldsUsage count="2">
        <fieldUsage x="-1"/>
        <fieldUsage x="2"/>
      </fieldsUsage>
    </cacheHierarchy>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2" memberValueDatatype="130" unbalanced="0">
      <fieldsUsage count="2">
        <fieldUsage x="-1"/>
        <fieldUsage x="4"/>
      </fieldsUsage>
    </cacheHierarchy>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0" memberValueDatatype="130" unbalanced="0"/>
    <cacheHierarchy uniqueName="[traffc].[day_of_week]" caption="day_of_week" attribute="1" defaultMemberUniqueName="[traffc].[day_of_week].[All]" allUniqueName="[traffc].[day_of_week].[All]" dimensionUniqueName="[traffc]" displayFolder="" count="0" memberValueDatatype="130" unbalanced="0"/>
    <cacheHierarchy uniqueName="[traffc].[festival]" caption="festival" attribute="1" defaultMemberUniqueName="[traffc].[festival].[All]" allUniqueName="[traffc].[festival].[All]" dimensionUniqueName="[traffc]" displayFolder="" count="2" memberValueDatatype="130" unbalanced="0"/>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0" memberValueDatatype="130" unbalanced="0"/>
    <cacheHierarchy uniqueName="[traffc].[date (Year)]" caption="date (Year)" attribute="1" defaultMemberUniqueName="[traffc].[date (Year)].[All]" allUniqueName="[traffc].[date (Year)].[All]" dimensionUniqueName="[traffc]" displayFolder="" count="2" memberValueDatatype="130" unbalanced="0">
      <fieldsUsage count="2">
        <fieldUsage x="-1"/>
        <fieldUsage x="3"/>
      </fieldsUsage>
    </cacheHierarchy>
    <cacheHierarchy uniqueName="[traffc].[date (Quarter)]" caption="date (Quarter)" attribute="1" defaultMemberUniqueName="[traffc].[date (Quarter)].[All]" allUniqueName="[traffc].[date (Quarter)].[All]" dimensionUniqueName="[traffc]" displayFolder="" count="0" memberValueDatatype="130" unbalanced="0"/>
    <cacheHierarchy uniqueName="[traffc].[date (Month)]" caption="date (Month)" attribute="1" defaultMemberUniqueName="[traffc].[date (Month)].[All]" allUniqueName="[traffc].[date (Month)].[All]" dimensionUniqueName="[traffc]" displayFolder="" count="2" memberValueDatatype="130" unbalanced="0">
      <fieldsUsage count="2">
        <fieldUsage x="-1"/>
        <fieldUsage x="1"/>
      </fieldsUsage>
    </cacheHierarchy>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oneField="1" hidden="1">
      <fieldsUsage count="1">
        <fieldUsage x="5"/>
      </fieldsUsage>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7.51171712963" createdVersion="5" refreshedVersion="8" minRefreshableVersion="3" recordCount="0" supportSubquery="1" supportAdvancedDrill="1" xr:uid="{830DDE5F-577A-4728-8A90-37E74E6A98D0}">
  <cacheSource type="external" connectionId="6"/>
  <cacheFields count="4">
    <cacheField name="[traffc].[source].[source]" caption="source" numFmtId="0" hierarchy="1" level="1">
      <sharedItems count="36">
        <s v="Airoli"/>
        <s v="Andheri"/>
        <s v="Bandra"/>
        <s v="Bandra Kurla Complex"/>
        <s v="Belapur"/>
        <s v="Bhandup"/>
        <s v="Borivali"/>
        <s v="Byculla"/>
        <s v="Chembur"/>
        <s v="Colaba"/>
        <s v="Crawford Market"/>
        <s v="CST"/>
        <s v="Dadar"/>
        <s v="Dombivli"/>
        <s v="Eastern Freeway Start"/>
        <s v="Fort"/>
        <s v="Ghatkopar"/>
        <s v="Girgaon"/>
        <s v="Goregaon"/>
        <s v="Juhu"/>
        <s v="Kalyan"/>
        <s v="Kurla"/>
        <s v="Lalbaug"/>
        <s v="Malad"/>
        <s v="Marine Lines"/>
        <s v="Matunga"/>
        <s v="Mohammad Ali Road"/>
        <s v="Mulund"/>
        <s v="Nerul"/>
        <s v="Panvel"/>
        <s v="Powai"/>
        <s v="Sion"/>
        <s v="Thane"/>
        <s v="Vashi"/>
        <s v="Western Express Highway"/>
        <s v="Worli"/>
      </sharedItems>
    </cacheField>
    <cacheField name="[Measures].[Sum of congestion_index]" caption="Sum of congestion_index" numFmtId="0" hierarchy="19" level="32767"/>
    <cacheField name="[traffc].[festival].[festival]" caption="festival" numFmtId="0" hierarchy="8" level="1">
      <sharedItems count="10">
        <s v="Christmas/NewYear"/>
        <s v="Diwali"/>
        <s v="Eid"/>
        <s v="Ganesh Chaturthi"/>
        <s v="Gudi Padwa"/>
        <s v="Holi"/>
        <s v="Independence Day"/>
        <s v="Janmashtami"/>
        <s v="Navratri"/>
        <s v="Ramadan Evenings"/>
      </sharedItems>
    </cacheField>
    <cacheField name="[traffc].[weather].[weather]" caption="weather" numFmtId="0" hierarchy="6" level="1">
      <sharedItems count="8">
        <s v="Clear"/>
        <s v="Cloudy"/>
        <s v="Fog"/>
        <s v="Heavy Rain"/>
        <s v="Rain"/>
        <s v="Storm"/>
        <s v="Rainy" u="1"/>
        <s v="Stormy" u="1"/>
      </sharedItems>
    </cacheField>
  </cacheFields>
  <cacheHierarchies count="25">
    <cacheHierarchy uniqueName="[traffc].[date]" caption="date" attribute="1" time="1" defaultMemberUniqueName="[traffc].[date].[All]" allUniqueName="[traffc].[date].[All]" dimensionUniqueName="[traffc]" displayFolder="" count="2" memberValueDatatype="7" unbalanced="0"/>
    <cacheHierarchy uniqueName="[traffc].[source]" caption="source" attribute="1" defaultMemberUniqueName="[traffc].[source].[All]" allUniqueName="[traffc].[source].[All]" dimensionUniqueName="[traffc]" displayFolder="" count="2" memberValueDatatype="130" unbalanced="0">
      <fieldsUsage count="2">
        <fieldUsage x="-1"/>
        <fieldUsage x="0"/>
      </fieldsUsage>
    </cacheHierarchy>
    <cacheHierarchy uniqueName="[traffc].[destination]" caption="destination" attribute="1" defaultMemberUniqueName="[traffc].[destination].[All]" allUniqueName="[traffc].[destination].[All]" dimensionUniqueName="[traffc]" displayFolder="" count="2" memberValueDatatype="130" unbalanced="0"/>
    <cacheHierarchy uniqueName="[traffc].[distance_km]" caption="distance_km" attribute="1" defaultMemberUniqueName="[traffc].[distance_km].[All]" allUniqueName="[traffc].[distance_km].[All]" dimensionUniqueName="[traffc]" displayFolder="" count="2" memberValueDatatype="5" unbalanced="0"/>
    <cacheHierarchy uniqueName="[traffc].[congestion_index]" caption="congestion_index" attribute="1" defaultMemberUniqueName="[traffc].[congestion_index].[All]" allUniqueName="[traffc].[congestion_index].[All]" dimensionUniqueName="[traffc]" displayFolder="" count="2" memberValueDatatype="5" unbalanced="0"/>
    <cacheHierarchy uniqueName="[traffc].[time_of_day]" caption="time_of_day" attribute="1" time="1" defaultMemberUniqueName="[traffc].[time_of_day].[All]" allUniqueName="[traffc].[time_of_day].[All]" dimensionUniqueName="[traffc]" displayFolder="" count="2" memberValueDatatype="7" unbalanced="0"/>
    <cacheHierarchy uniqueName="[traffc].[weather]" caption="weather" attribute="1" defaultMemberUniqueName="[traffc].[weather].[All]" allUniqueName="[traffc].[weather].[All]" dimensionUniqueName="[traffc]" displayFolder="" count="2" memberValueDatatype="130" unbalanced="0">
      <fieldsUsage count="2">
        <fieldUsage x="-1"/>
        <fieldUsage x="3"/>
      </fieldsUsage>
    </cacheHierarchy>
    <cacheHierarchy uniqueName="[traffc].[day_of_week]" caption="day_of_week" attribute="1" defaultMemberUniqueName="[traffc].[day_of_week].[All]" allUniqueName="[traffc].[day_of_week].[All]" dimensionUniqueName="[traffc]" displayFolder="" count="2" memberValueDatatype="130" unbalanced="0"/>
    <cacheHierarchy uniqueName="[traffc].[festival]" caption="festival" attribute="1" defaultMemberUniqueName="[traffc].[festival].[All]" allUniqueName="[traffc].[festival].[All]" dimensionUniqueName="[traffc]" displayFolder="" count="2" memberValueDatatype="130" unbalanced="0">
      <fieldsUsage count="2">
        <fieldUsage x="-1"/>
        <fieldUsage x="2"/>
      </fieldsUsage>
    </cacheHierarchy>
    <cacheHierarchy uniqueName="[traffc].[actual_travel_time_min]" caption="actual_travel_time_min" attribute="1" defaultMemberUniqueName="[traffc].[actual_travel_time_min].[All]" allUniqueName="[traffc].[actual_travel_time_min].[All]" dimensionUniqueName="[traffc]" displayFolder="" count="2" memberValueDatatype="5" unbalanced="0"/>
    <cacheHierarchy uniqueName="[traffc].[road_type]" caption="road_type" attribute="1" defaultMemberUniqueName="[traffc].[road_type].[All]" allUniqueName="[traffc].[road_type].[All]" dimensionUniqueName="[traffc]" displayFolder="" count="2" memberValueDatatype="130" unbalanced="0"/>
    <cacheHierarchy uniqueName="[traffc].[date (Year)]" caption="date (Year)" attribute="1" defaultMemberUniqueName="[traffc].[date (Year)].[All]" allUniqueName="[traffc].[date (Year)].[All]" dimensionUniqueName="[traffc]" displayFolder="" count="2" memberValueDatatype="130" unbalanced="0"/>
    <cacheHierarchy uniqueName="[traffc].[date (Quarter)]" caption="date (Quarter)" attribute="1" defaultMemberUniqueName="[traffc].[date (Quarter)].[All]" allUniqueName="[traffc].[date (Quarter)].[All]" dimensionUniqueName="[traffc]" displayFolder="" count="2" memberValueDatatype="130" unbalanced="0"/>
    <cacheHierarchy uniqueName="[traffc].[date (Month)]" caption="date (Month)" attribute="1" defaultMemberUniqueName="[traffc].[date (Month)].[All]" allUniqueName="[traffc].[date (Month)].[All]" dimensionUniqueName="[traffc]" displayFolder="" count="2" memberValueDatatype="130" unbalanced="0"/>
    <cacheHierarchy uniqueName="[traffc].[time_of_day (Hour)]" caption="time_of_day (Hour)" attribute="1" defaultMemberUniqueName="[traffc].[time_of_day (Hour)].[All]" allUniqueName="[traffc].[time_of_day (Hour)].[All]" dimensionUniqueName="[traffc]" displayFolder="" count="2" memberValueDatatype="130" unbalanced="0"/>
    <cacheHierarchy uniqueName="[traffc].[time_of_day (Minute)]" caption="time_of_day (Minute)" attribute="1" defaultMemberUniqueName="[traffc].[time_of_day (Minute)].[All]" allUniqueName="[traffc].[time_of_day (Minute)].[All]" dimensionUniqueName="[traffc]" displayFolder="" count="2" memberValueDatatype="130" unbalanced="0"/>
    <cacheHierarchy uniqueName="[traffc].[date (Month Index)]" caption="date (Month Index)" attribute="1" defaultMemberUniqueName="[traffc].[date (Month Index)].[All]" allUniqueName="[traffc].[date (Month Index)].[All]" dimensionUniqueName="[traffc]" displayFolder="" count="2"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raffc" uniqueName="[traffc]" caption="traffc"/>
  </dimensions>
  <measureGroups count="1">
    <measureGroup name="traffc" caption="traff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k" refreshedDate="45896.805971527778" createdVersion="3" refreshedVersion="8" minRefreshableVersion="3" recordCount="0" supportSubquery="1" supportAdvancedDrill="1" xr:uid="{7832DB35-6563-48BF-A78C-CB11AE5F9DDA}">
  <cacheSource type="external" connectionId="6">
    <extLst>
      <ext xmlns:x14="http://schemas.microsoft.com/office/spreadsheetml/2009/9/main" uri="{F057638F-6D5F-4e77-A914-E7F072B9BCA8}">
        <x14:sourceConnection name="ThisWorkbookDataModel"/>
      </ext>
    </extLst>
  </cacheSource>
  <cacheFields count="0"/>
  <cacheHierarchies count="25">
    <cacheHierarchy uniqueName="[traffc].[date]" caption="date" attribute="1" time="1" defaultMemberUniqueName="[traffc].[date].[All]" allUniqueName="[traffc].[date].[All]" dimensionUniqueName="[traffc]" displayFolder="" count="2" memberValueDatatype="7" unbalanced="0"/>
    <cacheHierarchy uniqueName="[traffc].[source]" caption="source" attribute="1" defaultMemberUniqueName="[traffc].[source].[All]" allUniqueName="[traffc].[source].[All]" dimensionUniqueName="[traffc]" displayFolder="" count="0" memberValueDatatype="130" unbalanced="0"/>
    <cacheHierarchy uniqueName="[traffc].[destination]" caption="destination" attribute="1" defaultMemberUniqueName="[traffc].[destination].[All]" allUniqueName="[traffc].[destination].[All]" dimensionUniqueName="[traffc]" displayFolder="" count="0" memberValueDatatype="130" unbalanced="0"/>
    <cacheHierarchy uniqueName="[traffc].[distance_km]" caption="distance_km" attribute="1" defaultMemberUniqueName="[traffc].[distance_km].[All]" allUniqueName="[traffc].[distance_km].[All]" dimensionUniqueName="[traffc]" displayFolder="" count="0" memberValueDatatype="5" unbalanced="0"/>
    <cacheHierarchy uniqueName="[traffc].[congestion_index]" caption="congestion_index" attribute="1" defaultMemberUniqueName="[traffc].[congestion_index].[All]" allUniqueName="[traffc].[congestion_index].[All]" dimensionUniqueName="[traffc]" displayFolder="" count="0" memberValueDatatype="5" unbalanced="0"/>
    <cacheHierarchy uniqueName="[traffc].[time_of_day]" caption="time_of_day" attribute="1" time="1" defaultMemberUniqueName="[traffc].[time_of_day].[All]" allUniqueName="[traffc].[time_of_day].[All]" dimensionUniqueName="[traffc]" displayFolder="" count="0" memberValueDatatype="7" unbalanced="0"/>
    <cacheHierarchy uniqueName="[traffc].[weather]" caption="weather" attribute="1" defaultMemberUniqueName="[traffc].[weather].[All]" allUniqueName="[traffc].[weather].[All]" dimensionUniqueName="[traffc]" displayFolder="" count="2" memberValueDatatype="130" unbalanced="0"/>
    <cacheHierarchy uniqueName="[traffc].[day_of_week]" caption="day_of_week" attribute="1" defaultMemberUniqueName="[traffc].[day_of_week].[All]" allUniqueName="[traffc].[day_of_week].[All]" dimensionUniqueName="[traffc]" displayFolder="" count="2" memberValueDatatype="130" unbalanced="0"/>
    <cacheHierarchy uniqueName="[traffc].[festival]" caption="festival" attribute="1" defaultMemberUniqueName="[traffc].[festival].[All]" allUniqueName="[traffc].[festival].[All]" dimensionUniqueName="[traffc]" displayFolder="" count="2" memberValueDatatype="130" unbalanced="0"/>
    <cacheHierarchy uniqueName="[traffc].[actual_travel_time_min]" caption="actual_travel_time_min" attribute="1" defaultMemberUniqueName="[traffc].[actual_travel_time_min].[All]" allUniqueName="[traffc].[actual_travel_time_min].[All]" dimensionUniqueName="[traffc]" displayFolder="" count="0" memberValueDatatype="5" unbalanced="0"/>
    <cacheHierarchy uniqueName="[traffc].[road_type]" caption="road_type" attribute="1" defaultMemberUniqueName="[traffc].[road_type].[All]" allUniqueName="[traffc].[road_type].[All]" dimensionUniqueName="[traffc]" displayFolder="" count="0" memberValueDatatype="130" unbalanced="0"/>
    <cacheHierarchy uniqueName="[traffc].[date (Year)]" caption="date (Year)" attribute="1" defaultMemberUniqueName="[traffc].[date (Year)].[All]" allUniqueName="[traffc].[date (Year)].[All]" dimensionUniqueName="[traffc]" displayFolder="" count="2" memberValueDatatype="130" unbalanced="0"/>
    <cacheHierarchy uniqueName="[traffc].[date (Quarter)]" caption="date (Quarter)" attribute="1" defaultMemberUniqueName="[traffc].[date (Quarter)].[All]" allUniqueName="[traffc].[date (Quarter)].[All]" dimensionUniqueName="[traffc]" displayFolder="" count="2" memberValueDatatype="130" unbalanced="0"/>
    <cacheHierarchy uniqueName="[traffc].[date (Month)]" caption="date (Month)" attribute="1" defaultMemberUniqueName="[traffc].[date (Month)].[All]" allUniqueName="[traffc].[date (Month)].[All]" dimensionUniqueName="[traffc]" displayFolder="" count="2" memberValueDatatype="130" unbalanced="0"/>
    <cacheHierarchy uniqueName="[traffc].[time_of_day (Hour)]" caption="time_of_day (Hour)" attribute="1" defaultMemberUniqueName="[traffc].[time_of_day (Hour)].[All]" allUniqueName="[traffc].[time_of_day (Hour)].[All]" dimensionUniqueName="[traffc]" displayFolder="" count="0" memberValueDatatype="130" unbalanced="0"/>
    <cacheHierarchy uniqueName="[traffc].[time_of_day (Minute)]" caption="time_of_day (Minute)" attribute="1" defaultMemberUniqueName="[traffc].[time_of_day (Minute)].[All]" allUniqueName="[traffc].[time_of_day (Minute)].[All]" dimensionUniqueName="[traffc]" displayFolder="" count="0" memberValueDatatype="130" unbalanced="0"/>
    <cacheHierarchy uniqueName="[traffc].[date (Month Index)]" caption="date (Month Index)" attribute="1" defaultMemberUniqueName="[traffc].[date (Month Index)].[All]" allUniqueName="[traffc].[date (Month Index)].[All]" dimensionUniqueName="[traffc]" displayFolder="" count="0" memberValueDatatype="20" unbalanced="0" hidden="1"/>
    <cacheHierarchy uniqueName="[Measures].[__XL_Count traffc]" caption="__XL_Count traffc" measure="1" displayFolder="" measureGroup="traffc" count="0" hidden="1"/>
    <cacheHierarchy uniqueName="[Measures].[__No measures defined]" caption="__No measures defined" measure="1" displayFolder="" count="0" hidden="1"/>
    <cacheHierarchy uniqueName="[Measures].[Sum of congestion_index]" caption="Sum of congestion_index" measure="1" displayFolder="" measureGroup="traffc" count="0" hidden="1">
      <extLst>
        <ext xmlns:x15="http://schemas.microsoft.com/office/spreadsheetml/2010/11/main" uri="{B97F6D7D-B522-45F9-BDA1-12C45D357490}">
          <x15:cacheHierarchy aggregatedColumn="4"/>
        </ext>
      </extLst>
    </cacheHierarchy>
    <cacheHierarchy uniqueName="[Measures].[Sum of actual_travel_time_min]" caption="Sum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Count of weather]" caption="Count of weather" measure="1" displayFolder="" measureGroup="traffc" count="0" hidden="1">
      <extLst>
        <ext xmlns:x15="http://schemas.microsoft.com/office/spreadsheetml/2010/11/main" uri="{B97F6D7D-B522-45F9-BDA1-12C45D357490}">
          <x15:cacheHierarchy aggregatedColumn="6"/>
        </ext>
      </extLst>
    </cacheHierarchy>
    <cacheHierarchy uniqueName="[Measures].[Sum of distance_km]" caption="Sum of distance_km" measure="1" displayFolder="" measureGroup="traffc" count="0" hidden="1">
      <extLst>
        <ext xmlns:x15="http://schemas.microsoft.com/office/spreadsheetml/2010/11/main" uri="{B97F6D7D-B522-45F9-BDA1-12C45D357490}">
          <x15:cacheHierarchy aggregatedColumn="3"/>
        </ext>
      </extLst>
    </cacheHierarchy>
    <cacheHierarchy uniqueName="[Measures].[Max of actual_travel_time_min]" caption="Max of actual_travel_time_min" measure="1" displayFolder="" measureGroup="traffc" count="0" hidden="1">
      <extLst>
        <ext xmlns:x15="http://schemas.microsoft.com/office/spreadsheetml/2010/11/main" uri="{B97F6D7D-B522-45F9-BDA1-12C45D357490}">
          <x15:cacheHierarchy aggregatedColumn="9"/>
        </ext>
      </extLst>
    </cacheHierarchy>
    <cacheHierarchy uniqueName="[Measures].[Average of actual_travel_time_min]" caption="Average of actual_travel_time_min" measure="1" displayFolder="" measureGroup="traffc"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890886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C72CF-C0A9-4302-900F-460C16F8835C}" name="PivotTable2" cacheId="0" applyNumberFormats="0" applyBorderFormats="0" applyFontFormats="0" applyPatternFormats="0" applyAlignmentFormats="0" applyWidthHeightFormats="1" dataCaption="Values" tag="47f2f2b2-d387-450d-a3de-49c92802cd58" updatedVersion="8" minRefreshableVersion="3" useAutoFormatting="1" subtotalHiddenItems="1" itemPrintTitles="1" createdVersion="5" indent="0" outline="1" outlineData="1" multipleFieldFilters="0" chartFormat="11">
  <location ref="A1:B10" firstHeaderRow="1" firstDataRow="1" firstDataCol="1"/>
  <pivotFields count="3">
    <pivotField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weather" fld="2" subtotal="count" baseField="0" baseItem="0"/>
  </dataFields>
  <chartFormats count="3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6" format="24">
      <pivotArea type="data" outline="0" fieldPosition="0">
        <references count="2">
          <reference field="4294967294" count="1" selected="0">
            <x v="0"/>
          </reference>
          <reference field="1" count="1" selected="0">
            <x v="5"/>
          </reference>
        </references>
      </pivotArea>
    </chartFormat>
    <chartFormat chart="6" format="25">
      <pivotArea type="data" outline="0" fieldPosition="0">
        <references count="2">
          <reference field="4294967294" count="1" selected="0">
            <x v="0"/>
          </reference>
          <reference field="1" count="1" selected="0">
            <x v="6"/>
          </reference>
        </references>
      </pivotArea>
    </chartFormat>
    <chartFormat chart="6" format="26">
      <pivotArea type="data" outline="0" fieldPosition="0">
        <references count="2">
          <reference field="4294967294" count="1" selected="0">
            <x v="0"/>
          </reference>
          <reference field="1" count="1" selected="0">
            <x v="7"/>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2">
          <reference field="4294967294" count="1" selected="0">
            <x v="0"/>
          </reference>
          <reference field="1" count="1" selected="0">
            <x v="3"/>
          </reference>
        </references>
      </pivotArea>
    </chartFormat>
    <chartFormat chart="9" format="14">
      <pivotArea type="data" outline="0" fieldPosition="0">
        <references count="2">
          <reference field="4294967294" count="1" selected="0">
            <x v="0"/>
          </reference>
          <reference field="1" count="1" selected="0">
            <x v="4"/>
          </reference>
        </references>
      </pivotArea>
    </chartFormat>
    <chartFormat chart="9" format="15">
      <pivotArea type="data" outline="0" fieldPosition="0">
        <references count="2">
          <reference field="4294967294" count="1" selected="0">
            <x v="0"/>
          </reference>
          <reference field="1" count="1" selected="0">
            <x v="5"/>
          </reference>
        </references>
      </pivotArea>
    </chartFormat>
    <chartFormat chart="9" format="16">
      <pivotArea type="data" outline="0" fieldPosition="0">
        <references count="2">
          <reference field="4294967294" count="1" selected="0">
            <x v="0"/>
          </reference>
          <reference field="1" count="1" selected="0">
            <x v="6"/>
          </reference>
        </references>
      </pivotArea>
    </chartFormat>
    <chartFormat chart="9" format="17">
      <pivotArea type="data" outline="0" fieldPosition="0">
        <references count="2">
          <reference field="4294967294" count="1" selected="0">
            <x v="0"/>
          </reference>
          <reference field="1" count="1" selected="0">
            <x v="7"/>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1" count="1" selected="0">
            <x v="0"/>
          </reference>
        </references>
      </pivotArea>
    </chartFormat>
    <chartFormat chart="10" format="20">
      <pivotArea type="data" outline="0" fieldPosition="0">
        <references count="2">
          <reference field="4294967294" count="1" selected="0">
            <x v="0"/>
          </reference>
          <reference field="1" count="1" selected="0">
            <x v="1"/>
          </reference>
        </references>
      </pivotArea>
    </chartFormat>
    <chartFormat chart="10" format="21">
      <pivotArea type="data" outline="0" fieldPosition="0">
        <references count="2">
          <reference field="4294967294" count="1" selected="0">
            <x v="0"/>
          </reference>
          <reference field="1" count="1" selected="0">
            <x v="2"/>
          </reference>
        </references>
      </pivotArea>
    </chartFormat>
    <chartFormat chart="10" format="22">
      <pivotArea type="data" outline="0" fieldPosition="0">
        <references count="2">
          <reference field="4294967294" count="1" selected="0">
            <x v="0"/>
          </reference>
          <reference field="1" count="1" selected="0">
            <x v="3"/>
          </reference>
        </references>
      </pivotArea>
    </chartFormat>
    <chartFormat chart="10" format="23">
      <pivotArea type="data" outline="0" fieldPosition="0">
        <references count="2">
          <reference field="4294967294" count="1" selected="0">
            <x v="0"/>
          </reference>
          <reference field="1" count="1" selected="0">
            <x v="4"/>
          </reference>
        </references>
      </pivotArea>
    </chartFormat>
    <chartFormat chart="10" format="24">
      <pivotArea type="data" outline="0" fieldPosition="0">
        <references count="2">
          <reference field="4294967294" count="1" selected="0">
            <x v="0"/>
          </reference>
          <reference field="1" count="1" selected="0">
            <x v="5"/>
          </reference>
        </references>
      </pivotArea>
    </chartFormat>
    <chartFormat chart="10" format="25">
      <pivotArea type="data" outline="0" fieldPosition="0">
        <references count="2">
          <reference field="4294967294" count="1" selected="0">
            <x v="0"/>
          </reference>
          <reference field="1" count="1" selected="0">
            <x v="6"/>
          </reference>
        </references>
      </pivotArea>
    </chartFormat>
    <chartFormat chart="10" format="26">
      <pivotArea type="data" outline="0" fieldPosition="0">
        <references count="2">
          <reference field="4294967294" count="1" selected="0">
            <x v="0"/>
          </reference>
          <reference field="1" count="1" selected="0">
            <x v="7"/>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FEBB16-76A9-4833-B194-A2200001D217}" name="PivotTable1" cacheId="1" applyNumberFormats="0" applyBorderFormats="0" applyFontFormats="0" applyPatternFormats="0" applyAlignmentFormats="0" applyWidthHeightFormats="1" dataCaption="Values" tag="9359c9d1-18e0-45cd-90d8-05a51928fc68" updatedVersion="8" minRefreshableVersion="3" useAutoFormatting="1" subtotalHiddenItems="1" itemPrintTitles="1" createdVersion="5" indent="0" outline="1" outlineData="1" multipleFieldFilters="0" chartFormat="7">
  <location ref="B3:C7" firstHeaderRow="1" firstDataRow="1" firstDataCol="1"/>
  <pivotFields count="3">
    <pivotField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actual_travel_time_min"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98732C-665F-49F2-9026-856C53661CEE}" name="PivotTable3" cacheId="3" applyNumberFormats="0" applyBorderFormats="0" applyFontFormats="0" applyPatternFormats="0" applyAlignmentFormats="0" applyWidthHeightFormats="1" dataCaption="Values" tag="67c60c35-578f-4ffa-ae49-7aec8e2c7e45" updatedVersion="8" minRefreshableVersion="3" useAutoFormatting="1" subtotalHiddenItems="1" itemPrintTitles="1" createdVersion="5" indent="0" outline="1" outlineData="1" multipleFieldFilters="0" chartFormat="10">
  <location ref="A1:H12" firstHeaderRow="1" firstDataRow="2" firstDataCol="1"/>
  <pivotFields count="6">
    <pivotField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allDrilled="1" subtotalTop="0" showAll="0" measureFilter="1" dataSourceSort="1" defaultSubtotal="0" defaultAttributeDrillState="1">
      <items count="2">
        <item x="0"/>
        <item x="1"/>
      </items>
    </pivotField>
    <pivotField axis="axisRow" allDrilled="1" subtotalTop="0" showAll="0"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measureFilter="1" dataSourceSort="1" defaultSubtotal="0" defaultAttributeDrillState="1">
      <items count="2">
        <item x="0"/>
        <item x="1"/>
      </items>
    </pivotField>
    <pivotField axis="axisCol" allDrilled="1" subtotalTop="0" showAll="0" dataSourceSort="1" defaultSubtotal="0" defaultAttributeDrillState="1">
      <items count="6">
        <item x="0"/>
        <item x="1"/>
        <item x="2"/>
        <item x="3"/>
        <item x="4"/>
        <item x="5"/>
      </items>
    </pivotField>
  </pivotFields>
  <rowFields count="1">
    <field x="2"/>
  </rowFields>
  <rowItems count="10">
    <i>
      <x/>
    </i>
    <i>
      <x v="1"/>
    </i>
    <i>
      <x v="2"/>
    </i>
    <i>
      <x v="3"/>
    </i>
    <i>
      <x v="4"/>
    </i>
    <i>
      <x v="5"/>
    </i>
    <i>
      <x v="6"/>
    </i>
    <i>
      <x v="7"/>
    </i>
    <i>
      <x v="8"/>
    </i>
    <i t="grand">
      <x/>
    </i>
  </rowItems>
  <colFields count="1">
    <field x="5"/>
  </colFields>
  <colItems count="7">
    <i>
      <x/>
    </i>
    <i>
      <x v="1"/>
    </i>
    <i>
      <x v="2"/>
    </i>
    <i>
      <x v="3"/>
    </i>
    <i>
      <x v="4"/>
    </i>
    <i>
      <x v="5"/>
    </i>
    <i t="grand">
      <x/>
    </i>
  </colItems>
  <dataFields count="1">
    <dataField name="Sum of congestion_index" fld="3" baseField="0" baseItem="0"/>
  </dataFields>
  <chartFormats count="1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5" count="1" selected="0">
            <x v="1"/>
          </reference>
        </references>
      </pivotArea>
    </chartFormat>
    <chartFormat chart="5" format="2" series="1">
      <pivotArea type="data" outline="0" fieldPosition="0">
        <references count="2">
          <reference field="4294967294" count="1" selected="0">
            <x v="0"/>
          </reference>
          <reference field="5" count="1" selected="0">
            <x v="2"/>
          </reference>
        </references>
      </pivotArea>
    </chartFormat>
    <chartFormat chart="5" format="3" series="1">
      <pivotArea type="data" outline="0" fieldPosition="0">
        <references count="2">
          <reference field="4294967294" count="1" selected="0">
            <x v="0"/>
          </reference>
          <reference field="5" count="1" selected="0">
            <x v="3"/>
          </reference>
        </references>
      </pivotArea>
    </chartFormat>
    <chartFormat chart="5" format="4" series="1">
      <pivotArea type="data" outline="0" fieldPosition="0">
        <references count="2">
          <reference field="4294967294" count="1" selected="0">
            <x v="0"/>
          </reference>
          <reference field="5" count="1" selected="0">
            <x v="4"/>
          </reference>
        </references>
      </pivotArea>
    </chartFormat>
    <chartFormat chart="5" format="5" series="1">
      <pivotArea type="data" outline="0" fieldPosition="0">
        <references count="2">
          <reference field="4294967294" count="1" selected="0">
            <x v="0"/>
          </reference>
          <reference field="5" count="1" selected="0">
            <x v="5"/>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9" format="13" series="1">
      <pivotArea type="data" outline="0" fieldPosition="0">
        <references count="2">
          <reference field="4294967294" count="1" selected="0">
            <x v="0"/>
          </reference>
          <reference field="5" count="1" selected="0">
            <x v="0"/>
          </reference>
        </references>
      </pivotArea>
    </chartFormat>
    <chartFormat chart="9" format="14" series="1">
      <pivotArea type="data" outline="0" fieldPosition="0">
        <references count="2">
          <reference field="4294967294" count="1" selected="0">
            <x v="0"/>
          </reference>
          <reference field="5" count="1" selected="0">
            <x v="1"/>
          </reference>
        </references>
      </pivotArea>
    </chartFormat>
    <chartFormat chart="9" format="15" series="1">
      <pivotArea type="data" outline="0" fieldPosition="0">
        <references count="2">
          <reference field="4294967294" count="1" selected="0">
            <x v="0"/>
          </reference>
          <reference field="5" count="1" selected="0">
            <x v="2"/>
          </reference>
        </references>
      </pivotArea>
    </chartFormat>
    <chartFormat chart="9" format="16" series="1">
      <pivotArea type="data" outline="0" fieldPosition="0">
        <references count="2">
          <reference field="4294967294" count="1" selected="0">
            <x v="0"/>
          </reference>
          <reference field="5" count="1" selected="0">
            <x v="3"/>
          </reference>
        </references>
      </pivotArea>
    </chartFormat>
    <chartFormat chart="9" format="17" series="1">
      <pivotArea type="data" outline="0" fieldPosition="0">
        <references count="2">
          <reference field="4294967294" count="1" selected="0">
            <x v="0"/>
          </reference>
          <reference field="5" count="1" selected="0">
            <x v="4"/>
          </reference>
        </references>
      </pivotArea>
    </chartFormat>
    <chartFormat chart="9" format="18" series="1">
      <pivotArea type="data" outline="0" fieldPosition="0">
        <references count="2">
          <reference field="4294967294" count="1" selected="0">
            <x v="0"/>
          </reference>
          <reference field="5" count="1" selected="0">
            <x v="5"/>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count" id="7" iMeasureHier="19">
      <autoFilter ref="A1">
        <filterColumn colId="0">
          <top10 val="2" filterVal="2"/>
        </filterColumn>
      </autoFilter>
    </filter>
    <filter fld="1" type="count" id="10" iMeasureHier="19">
      <autoFilter ref="A1">
        <filterColumn colId="0">
          <top10 val="2" filterVal="2"/>
        </filterColumn>
      </autoFilter>
    </filter>
  </filters>
  <rowHierarchiesUsage count="1">
    <rowHierarchyUsage hierarchyUsage="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FB976A-6FE1-4171-A345-5C1AB33B7E4E}" name="PivotTable6" cacheId="4" applyNumberFormats="0" applyBorderFormats="0" applyFontFormats="0" applyPatternFormats="0" applyAlignmentFormats="0" applyWidthHeightFormats="1" dataCaption="Values" tag="861a4905-dd17-40fb-8e47-92ac2dfd531b" updatedVersion="8" minRefreshableVersion="3" useAutoFormatting="1" subtotalHiddenItems="1" itemPrintTitles="1" createdVersion="5" indent="0" outline="1" outlineData="1" multipleFieldFilters="0" chartFormat="13">
  <location ref="A1:G12" firstHeaderRow="1" firstDataRow="2" firstDataCol="1"/>
  <pivotFields count="6">
    <pivotField axis="axisRow" allDrilled="1" subtotalTop="0" showAll="0" defaultSubtotal="0" defaultAttributeDrillState="1">
      <items count="9">
        <item s="1" x="2"/>
        <item s="1" x="6"/>
        <item s="1" x="8"/>
        <item s="1" x="4"/>
        <item s="1" x="0"/>
        <item s="1" x="1"/>
        <item s="1" x="3"/>
        <item s="1" x="5"/>
        <item s="1" x="7"/>
      </items>
    </pivotField>
    <pivotField allDrilled="1" subtotalTop="0" showAll="0" measureFilter="1" dataSourceSort="1" defaultSubtotal="0" defaultAttributeDrillState="1">
      <items count="2">
        <item x="0"/>
        <item x="1"/>
      </items>
    </pivotField>
    <pivotField allDrilled="1" subtotalTop="0" showAll="0" sortType="ascending" defaultSubtotal="0" defaultAttributeDrillState="1">
      <items count="9">
        <item s="1" x="0"/>
        <item s="1" x="1"/>
        <item s="1" x="2"/>
        <item s="1" x="3"/>
        <item s="1" x="4"/>
        <item s="1" x="5"/>
        <item s="1" x="6"/>
        <item s="1" x="7"/>
        <item s="1" x="8"/>
      </items>
    </pivotField>
    <pivotField allDrilled="1" subtotalTop="0" showAll="0" measureFilter="1" dataSourceSort="1" defaultSubtotal="0" defaultAttributeDrillState="1">
      <items count="2">
        <item x="0"/>
        <item x="1"/>
      </items>
    </pivotField>
    <pivotField axis="axisCol" allDrilled="1" subtotalTop="0" showAll="0" measureFilter="1"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s>
  <rowFields count="1">
    <field x="0"/>
  </rowFields>
  <rowItems count="10">
    <i>
      <x/>
    </i>
    <i>
      <x v="1"/>
    </i>
    <i>
      <x v="2"/>
    </i>
    <i>
      <x v="3"/>
    </i>
    <i>
      <x v="4"/>
    </i>
    <i>
      <x v="5"/>
    </i>
    <i>
      <x v="6"/>
    </i>
    <i>
      <x v="7"/>
    </i>
    <i>
      <x v="8"/>
    </i>
    <i t="grand">
      <x/>
    </i>
  </rowItems>
  <colFields count="1">
    <field x="4"/>
  </colFields>
  <colItems count="6">
    <i>
      <x/>
    </i>
    <i>
      <x v="1"/>
    </i>
    <i>
      <x v="2"/>
    </i>
    <i>
      <x v="3"/>
    </i>
    <i>
      <x v="4"/>
    </i>
    <i t="grand">
      <x/>
    </i>
  </colItems>
  <dataFields count="1">
    <dataField name="Sum of congestion_index" fld="5" baseField="0" baseItem="0"/>
  </dataFields>
  <chartFormats count="79">
    <chartFormat chart="8" format="74" series="1">
      <pivotArea type="data" outline="0" fieldPosition="0">
        <references count="2">
          <reference field="4294967294" count="1" selected="0">
            <x v="0"/>
          </reference>
          <reference field="4" count="1" selected="0">
            <x v="5"/>
          </reference>
        </references>
      </pivotArea>
    </chartFormat>
    <chartFormat chart="8" format="75" series="1">
      <pivotArea type="data" outline="0" fieldPosition="0">
        <references count="2">
          <reference field="4294967294" count="1" selected="0">
            <x v="0"/>
          </reference>
          <reference field="4" count="1" selected="0">
            <x v="9"/>
          </reference>
        </references>
      </pivotArea>
    </chartFormat>
    <chartFormat chart="8" format="76" series="1">
      <pivotArea type="data" outline="0" fieldPosition="0">
        <references count="2">
          <reference field="4294967294" count="1" selected="0">
            <x v="0"/>
          </reference>
          <reference field="4" count="1" selected="0">
            <x v="10"/>
          </reference>
        </references>
      </pivotArea>
    </chartFormat>
    <chartFormat chart="8" format="77" series="1">
      <pivotArea type="data" outline="0" fieldPosition="0">
        <references count="2">
          <reference field="4294967294" count="1" selected="0">
            <x v="0"/>
          </reference>
          <reference field="4" count="1" selected="0">
            <x v="11"/>
          </reference>
        </references>
      </pivotArea>
    </chartFormat>
    <chartFormat chart="8" format="78" series="1">
      <pivotArea type="data" outline="0" fieldPosition="0">
        <references count="2">
          <reference field="4294967294" count="1" selected="0">
            <x v="0"/>
          </reference>
          <reference field="4" count="1" selected="0">
            <x v="12"/>
          </reference>
        </references>
      </pivotArea>
    </chartFormat>
    <chartFormat chart="8" format="79" series="1">
      <pivotArea type="data" outline="0" fieldPosition="0">
        <references count="2">
          <reference field="4294967294" count="1" selected="0">
            <x v="0"/>
          </reference>
          <reference field="4" count="1" selected="0">
            <x v="7"/>
          </reference>
        </references>
      </pivotArea>
    </chartFormat>
    <chartFormat chart="8" format="80" series="1">
      <pivotArea type="data" outline="0" fieldPosition="0">
        <references count="2">
          <reference field="4294967294" count="1" selected="0">
            <x v="0"/>
          </reference>
          <reference field="4" count="1" selected="0">
            <x v="13"/>
          </reference>
        </references>
      </pivotArea>
    </chartFormat>
    <chartFormat chart="8" format="81" series="1">
      <pivotArea type="data" outline="0" fieldPosition="0">
        <references count="2">
          <reference field="4294967294" count="1" selected="0">
            <x v="0"/>
          </reference>
          <reference field="4" count="1" selected="0">
            <x v="14"/>
          </reference>
        </references>
      </pivotArea>
    </chartFormat>
    <chartFormat chart="8" format="82" series="1">
      <pivotArea type="data" outline="0" fieldPosition="0">
        <references count="2">
          <reference field="4294967294" count="1" selected="0">
            <x v="0"/>
          </reference>
          <reference field="4" count="1" selected="0">
            <x v="0"/>
          </reference>
        </references>
      </pivotArea>
    </chartFormat>
    <chartFormat chart="8" format="83" series="1">
      <pivotArea type="data" outline="0" fieldPosition="0">
        <references count="2">
          <reference field="4294967294" count="1" selected="0">
            <x v="0"/>
          </reference>
          <reference field="4" count="1" selected="0">
            <x v="8"/>
          </reference>
        </references>
      </pivotArea>
    </chartFormat>
    <chartFormat chart="8" format="84" series="1">
      <pivotArea type="data" outline="0" fieldPosition="0">
        <references count="2">
          <reference field="4294967294" count="1" selected="0">
            <x v="0"/>
          </reference>
          <reference field="4" count="1" selected="0">
            <x v="1"/>
          </reference>
        </references>
      </pivotArea>
    </chartFormat>
    <chartFormat chart="8" format="85" series="1">
      <pivotArea type="data" outline="0" fieldPosition="0">
        <references count="2">
          <reference field="4294967294" count="1" selected="0">
            <x v="0"/>
          </reference>
          <reference field="4" count="1" selected="0">
            <x v="15"/>
          </reference>
        </references>
      </pivotArea>
    </chartFormat>
    <chartFormat chart="8" format="86" series="1">
      <pivotArea type="data" outline="0" fieldPosition="0">
        <references count="2">
          <reference field="4294967294" count="1" selected="0">
            <x v="0"/>
          </reference>
          <reference field="4" count="1" selected="0">
            <x v="16"/>
          </reference>
        </references>
      </pivotArea>
    </chartFormat>
    <chartFormat chart="8" format="87" series="1">
      <pivotArea type="data" outline="0" fieldPosition="0">
        <references count="2">
          <reference field="4294967294" count="1" selected="0">
            <x v="0"/>
          </reference>
          <reference field="4" count="1" selected="0">
            <x v="2"/>
          </reference>
        </references>
      </pivotArea>
    </chartFormat>
    <chartFormat chart="8" format="88" series="1">
      <pivotArea type="data" outline="0" fieldPosition="0">
        <references count="2">
          <reference field="4294967294" count="1" selected="0">
            <x v="0"/>
          </reference>
          <reference field="4" count="1" selected="0">
            <x v="17"/>
          </reference>
        </references>
      </pivotArea>
    </chartFormat>
    <chartFormat chart="8" format="89" series="1">
      <pivotArea type="data" outline="0" fieldPosition="0">
        <references count="2">
          <reference field="4294967294" count="1" selected="0">
            <x v="0"/>
          </reference>
          <reference field="4" count="1" selected="0">
            <x v="18"/>
          </reference>
        </references>
      </pivotArea>
    </chartFormat>
    <chartFormat chart="8" format="90" series="1">
      <pivotArea type="data" outline="0" fieldPosition="0">
        <references count="2">
          <reference field="4294967294" count="1" selected="0">
            <x v="0"/>
          </reference>
          <reference field="4" count="1" selected="0">
            <x v="6"/>
          </reference>
        </references>
      </pivotArea>
    </chartFormat>
    <chartFormat chart="8" format="91" series="1">
      <pivotArea type="data" outline="0" fieldPosition="0">
        <references count="2">
          <reference field="4294967294" count="1" selected="0">
            <x v="0"/>
          </reference>
          <reference field="4" count="1" selected="0">
            <x v="3"/>
          </reference>
        </references>
      </pivotArea>
    </chartFormat>
    <chartFormat chart="8" format="92" series="1">
      <pivotArea type="data" outline="0" fieldPosition="0">
        <references count="2">
          <reference field="4294967294" count="1" selected="0">
            <x v="0"/>
          </reference>
          <reference field="4" count="1" selected="0">
            <x v="19"/>
          </reference>
        </references>
      </pivotArea>
    </chartFormat>
    <chartFormat chart="8" format="93" series="1">
      <pivotArea type="data" outline="0" fieldPosition="0">
        <references count="2">
          <reference field="4294967294" count="1" selected="0">
            <x v="0"/>
          </reference>
          <reference field="4" count="1" selected="0">
            <x v="20"/>
          </reference>
        </references>
      </pivotArea>
    </chartFormat>
    <chartFormat chart="8" format="94" series="1">
      <pivotArea type="data" outline="0" fieldPosition="0">
        <references count="2">
          <reference field="4294967294" count="1" selected="0">
            <x v="0"/>
          </reference>
          <reference field="4" count="1" selected="0">
            <x v="4"/>
          </reference>
        </references>
      </pivotArea>
    </chartFormat>
    <chartFormat chart="8" format="95" series="1">
      <pivotArea type="data" outline="0" fieldPosition="0">
        <references count="2">
          <reference field="4294967294" count="1" selected="0">
            <x v="0"/>
          </reference>
          <reference field="4" count="1" selected="0">
            <x v="21"/>
          </reference>
        </references>
      </pivotArea>
    </chartFormat>
    <chartFormat chart="8" format="96" series="1">
      <pivotArea type="data" outline="0" fieldPosition="0">
        <references count="2">
          <reference field="4294967294" count="1" selected="0">
            <x v="0"/>
          </reference>
          <reference field="4" count="1" selected="0">
            <x v="22"/>
          </reference>
        </references>
      </pivotArea>
    </chartFormat>
    <chartFormat chart="8" format="97" series="1">
      <pivotArea type="data" outline="0" fieldPosition="0">
        <references count="2">
          <reference field="4294967294" count="1" selected="0">
            <x v="0"/>
          </reference>
          <reference field="4" count="1" selected="0">
            <x v="23"/>
          </reference>
        </references>
      </pivotArea>
    </chartFormat>
    <chartFormat chart="8" format="98" series="1">
      <pivotArea type="data" outline="0" fieldPosition="0">
        <references count="2">
          <reference field="4294967294" count="1" selected="0">
            <x v="0"/>
          </reference>
          <reference field="4" count="1" selected="0">
            <x v="24"/>
          </reference>
        </references>
      </pivotArea>
    </chartFormat>
    <chartFormat chart="8" format="99" series="1">
      <pivotArea type="data" outline="0" fieldPosition="0">
        <references count="2">
          <reference field="4294967294" count="1" selected="0">
            <x v="0"/>
          </reference>
          <reference field="4" count="1" selected="0">
            <x v="25"/>
          </reference>
        </references>
      </pivotArea>
    </chartFormat>
    <chartFormat chart="8" format="100" series="1">
      <pivotArea type="data" outline="0" fieldPosition="0">
        <references count="2">
          <reference field="4294967294" count="1" selected="0">
            <x v="0"/>
          </reference>
          <reference field="4" count="1" selected="0">
            <x v="26"/>
          </reference>
        </references>
      </pivotArea>
    </chartFormat>
    <chartFormat chart="8" format="101" series="1">
      <pivotArea type="data" outline="0" fieldPosition="0">
        <references count="2">
          <reference field="4294967294" count="1" selected="0">
            <x v="0"/>
          </reference>
          <reference field="4" count="1" selected="0">
            <x v="27"/>
          </reference>
        </references>
      </pivotArea>
    </chartFormat>
    <chartFormat chart="8" format="102" series="1">
      <pivotArea type="data" outline="0" fieldPosition="0">
        <references count="2">
          <reference field="4294967294" count="1" selected="0">
            <x v="0"/>
          </reference>
          <reference field="4" count="1" selected="0">
            <x v="28"/>
          </reference>
        </references>
      </pivotArea>
    </chartFormat>
    <chartFormat chart="8" format="103" series="1">
      <pivotArea type="data" outline="0" fieldPosition="0">
        <references count="2">
          <reference field="4294967294" count="1" selected="0">
            <x v="0"/>
          </reference>
          <reference field="4" count="1" selected="0">
            <x v="29"/>
          </reference>
        </references>
      </pivotArea>
    </chartFormat>
    <chartFormat chart="8" format="104" series="1">
      <pivotArea type="data" outline="0" fieldPosition="0">
        <references count="2">
          <reference field="4294967294" count="1" selected="0">
            <x v="0"/>
          </reference>
          <reference field="4" count="1" selected="0">
            <x v="30"/>
          </reference>
        </references>
      </pivotArea>
    </chartFormat>
    <chartFormat chart="8" format="105" series="1">
      <pivotArea type="data" outline="0" fieldPosition="0">
        <references count="2">
          <reference field="4294967294" count="1" selected="0">
            <x v="0"/>
          </reference>
          <reference field="4" count="1" selected="0">
            <x v="31"/>
          </reference>
        </references>
      </pivotArea>
    </chartFormat>
    <chartFormat chart="8" format="106" series="1">
      <pivotArea type="data" outline="0" fieldPosition="0">
        <references count="2">
          <reference field="4294967294" count="1" selected="0">
            <x v="0"/>
          </reference>
          <reference field="4" count="1" selected="0">
            <x v="32"/>
          </reference>
        </references>
      </pivotArea>
    </chartFormat>
    <chartFormat chart="8" format="107" series="1">
      <pivotArea type="data" outline="0" fieldPosition="0">
        <references count="2">
          <reference field="4294967294" count="1" selected="0">
            <x v="0"/>
          </reference>
          <reference field="4" count="1" selected="0">
            <x v="33"/>
          </reference>
        </references>
      </pivotArea>
    </chartFormat>
    <chartFormat chart="8" format="108" series="1">
      <pivotArea type="data" outline="0" fieldPosition="0">
        <references count="2">
          <reference field="4294967294" count="1" selected="0">
            <x v="0"/>
          </reference>
          <reference field="4" count="1" selected="0">
            <x v="34"/>
          </reference>
        </references>
      </pivotArea>
    </chartFormat>
    <chartFormat chart="8" format="109" series="1">
      <pivotArea type="data" outline="0" fieldPosition="0">
        <references count="2">
          <reference field="4294967294" count="1" selected="0">
            <x v="0"/>
          </reference>
          <reference field="4" count="1" selected="0">
            <x v="35"/>
          </reference>
        </references>
      </pivotArea>
    </chartFormat>
    <chartFormat chart="8" format="110" series="1">
      <pivotArea type="data" outline="0" fieldPosition="0">
        <references count="2">
          <reference field="4294967294" count="1" selected="0">
            <x v="0"/>
          </reference>
          <reference field="4" count="1" selected="0">
            <x v="36"/>
          </reference>
        </references>
      </pivotArea>
    </chartFormat>
    <chartFormat chart="10" format="0" series="1">
      <pivotArea type="data" outline="0" fieldPosition="0">
        <references count="2">
          <reference field="4294967294" count="1" selected="0">
            <x v="0"/>
          </reference>
          <reference field="4" count="1" selected="0">
            <x v="9"/>
          </reference>
        </references>
      </pivotArea>
    </chartFormat>
    <chartFormat chart="10" format="1" series="1">
      <pivotArea type="data" outline="0" fieldPosition="0">
        <references count="2">
          <reference field="4294967294" count="1" selected="0">
            <x v="0"/>
          </reference>
          <reference field="4" count="1" selected="0">
            <x v="10"/>
          </reference>
        </references>
      </pivotArea>
    </chartFormat>
    <chartFormat chart="10" format="2" series="1">
      <pivotArea type="data" outline="0" fieldPosition="0">
        <references count="2">
          <reference field="4294967294" count="1" selected="0">
            <x v="0"/>
          </reference>
          <reference field="4" count="1" selected="0">
            <x v="11"/>
          </reference>
        </references>
      </pivotArea>
    </chartFormat>
    <chartFormat chart="10" format="3" series="1">
      <pivotArea type="data" outline="0" fieldPosition="0">
        <references count="2">
          <reference field="4294967294" count="1" selected="0">
            <x v="0"/>
          </reference>
          <reference field="4" count="1" selected="0">
            <x v="12"/>
          </reference>
        </references>
      </pivotArea>
    </chartFormat>
    <chartFormat chart="10" format="4" series="1">
      <pivotArea type="data" outline="0" fieldPosition="0">
        <references count="2">
          <reference field="4294967294" count="1" selected="0">
            <x v="0"/>
          </reference>
          <reference field="4" count="1" selected="0">
            <x v="7"/>
          </reference>
        </references>
      </pivotArea>
    </chartFormat>
    <chartFormat chart="10" format="5" series="1">
      <pivotArea type="data" outline="0" fieldPosition="0">
        <references count="2">
          <reference field="4294967294" count="1" selected="0">
            <x v="0"/>
          </reference>
          <reference field="4" count="1" selected="0">
            <x v="13"/>
          </reference>
        </references>
      </pivotArea>
    </chartFormat>
    <chartFormat chart="10" format="6" series="1">
      <pivotArea type="data" outline="0" fieldPosition="0">
        <references count="2">
          <reference field="4294967294" count="1" selected="0">
            <x v="0"/>
          </reference>
          <reference field="4" count="1" selected="0">
            <x v="14"/>
          </reference>
        </references>
      </pivotArea>
    </chartFormat>
    <chartFormat chart="10" format="7" series="1">
      <pivotArea type="data" outline="0" fieldPosition="0">
        <references count="2">
          <reference field="4294967294" count="1" selected="0">
            <x v="0"/>
          </reference>
          <reference field="4" count="1" selected="0">
            <x v="0"/>
          </reference>
        </references>
      </pivotArea>
    </chartFormat>
    <chartFormat chart="10" format="8" series="1">
      <pivotArea type="data" outline="0" fieldPosition="0">
        <references count="2">
          <reference field="4294967294" count="1" selected="0">
            <x v="0"/>
          </reference>
          <reference field="4" count="1" selected="0">
            <x v="8"/>
          </reference>
        </references>
      </pivotArea>
    </chartFormat>
    <chartFormat chart="10" format="9" series="1">
      <pivotArea type="data" outline="0" fieldPosition="0">
        <references count="2">
          <reference field="4294967294" count="1" selected="0">
            <x v="0"/>
          </reference>
          <reference field="4" count="1" selected="0">
            <x v="1"/>
          </reference>
        </references>
      </pivotArea>
    </chartFormat>
    <chartFormat chart="10" format="10" series="1">
      <pivotArea type="data" outline="0" fieldPosition="0">
        <references count="2">
          <reference field="4294967294" count="1" selected="0">
            <x v="0"/>
          </reference>
          <reference field="4" count="1" selected="0">
            <x v="15"/>
          </reference>
        </references>
      </pivotArea>
    </chartFormat>
    <chartFormat chart="10" format="11" series="1">
      <pivotArea type="data" outline="0" fieldPosition="0">
        <references count="2">
          <reference field="4294967294" count="1" selected="0">
            <x v="0"/>
          </reference>
          <reference field="4" count="1" selected="0">
            <x v="16"/>
          </reference>
        </references>
      </pivotArea>
    </chartFormat>
    <chartFormat chart="10" format="12" series="1">
      <pivotArea type="data" outline="0" fieldPosition="0">
        <references count="2">
          <reference field="4294967294" count="1" selected="0">
            <x v="0"/>
          </reference>
          <reference field="4" count="1" selected="0">
            <x v="2"/>
          </reference>
        </references>
      </pivotArea>
    </chartFormat>
    <chartFormat chart="10" format="13" series="1">
      <pivotArea type="data" outline="0" fieldPosition="0">
        <references count="2">
          <reference field="4294967294" count="1" selected="0">
            <x v="0"/>
          </reference>
          <reference field="4" count="1" selected="0">
            <x v="17"/>
          </reference>
        </references>
      </pivotArea>
    </chartFormat>
    <chartFormat chart="10" format="14" series="1">
      <pivotArea type="data" outline="0" fieldPosition="0">
        <references count="2">
          <reference field="4294967294" count="1" selected="0">
            <x v="0"/>
          </reference>
          <reference field="4" count="1" selected="0">
            <x v="18"/>
          </reference>
        </references>
      </pivotArea>
    </chartFormat>
    <chartFormat chart="10" format="15" series="1">
      <pivotArea type="data" outline="0" fieldPosition="0">
        <references count="2">
          <reference field="4294967294" count="1" selected="0">
            <x v="0"/>
          </reference>
          <reference field="4" count="1" selected="0">
            <x v="6"/>
          </reference>
        </references>
      </pivotArea>
    </chartFormat>
    <chartFormat chart="10" format="16" series="1">
      <pivotArea type="data" outline="0" fieldPosition="0">
        <references count="2">
          <reference field="4294967294" count="1" selected="0">
            <x v="0"/>
          </reference>
          <reference field="4" count="1" selected="0">
            <x v="3"/>
          </reference>
        </references>
      </pivotArea>
    </chartFormat>
    <chartFormat chart="10" format="17" series="1">
      <pivotArea type="data" outline="0" fieldPosition="0">
        <references count="2">
          <reference field="4294967294" count="1" selected="0">
            <x v="0"/>
          </reference>
          <reference field="4" count="1" selected="0">
            <x v="19"/>
          </reference>
        </references>
      </pivotArea>
    </chartFormat>
    <chartFormat chart="10" format="18" series="1">
      <pivotArea type="data" outline="0" fieldPosition="0">
        <references count="2">
          <reference field="4294967294" count="1" selected="0">
            <x v="0"/>
          </reference>
          <reference field="4" count="1" selected="0">
            <x v="20"/>
          </reference>
        </references>
      </pivotArea>
    </chartFormat>
    <chartFormat chart="10" format="19" series="1">
      <pivotArea type="data" outline="0" fieldPosition="0">
        <references count="2">
          <reference field="4294967294" count="1" selected="0">
            <x v="0"/>
          </reference>
          <reference field="4" count="1" selected="0">
            <x v="4"/>
          </reference>
        </references>
      </pivotArea>
    </chartFormat>
    <chartFormat chart="10" format="20" series="1">
      <pivotArea type="data" outline="0" fieldPosition="0">
        <references count="2">
          <reference field="4294967294" count="1" selected="0">
            <x v="0"/>
          </reference>
          <reference field="4" count="1" selected="0">
            <x v="21"/>
          </reference>
        </references>
      </pivotArea>
    </chartFormat>
    <chartFormat chart="10" format="21" series="1">
      <pivotArea type="data" outline="0" fieldPosition="0">
        <references count="2">
          <reference field="4294967294" count="1" selected="0">
            <x v="0"/>
          </reference>
          <reference field="4" count="1" selected="0">
            <x v="22"/>
          </reference>
        </references>
      </pivotArea>
    </chartFormat>
    <chartFormat chart="10" format="22" series="1">
      <pivotArea type="data" outline="0" fieldPosition="0">
        <references count="2">
          <reference field="4294967294" count="1" selected="0">
            <x v="0"/>
          </reference>
          <reference field="4" count="1" selected="0">
            <x v="23"/>
          </reference>
        </references>
      </pivotArea>
    </chartFormat>
    <chartFormat chart="10" format="23" series="1">
      <pivotArea type="data" outline="0" fieldPosition="0">
        <references count="2">
          <reference field="4294967294" count="1" selected="0">
            <x v="0"/>
          </reference>
          <reference field="4" count="1" selected="0">
            <x v="24"/>
          </reference>
        </references>
      </pivotArea>
    </chartFormat>
    <chartFormat chart="10" format="24" series="1">
      <pivotArea type="data" outline="0" fieldPosition="0">
        <references count="2">
          <reference field="4294967294" count="1" selected="0">
            <x v="0"/>
          </reference>
          <reference field="4" count="1" selected="0">
            <x v="25"/>
          </reference>
        </references>
      </pivotArea>
    </chartFormat>
    <chartFormat chart="10" format="25" series="1">
      <pivotArea type="data" outline="0" fieldPosition="0">
        <references count="2">
          <reference field="4294967294" count="1" selected="0">
            <x v="0"/>
          </reference>
          <reference field="4" count="1" selected="0">
            <x v="26"/>
          </reference>
        </references>
      </pivotArea>
    </chartFormat>
    <chartFormat chart="10" format="26" series="1">
      <pivotArea type="data" outline="0" fieldPosition="0">
        <references count="2">
          <reference field="4294967294" count="1" selected="0">
            <x v="0"/>
          </reference>
          <reference field="4" count="1" selected="0">
            <x v="27"/>
          </reference>
        </references>
      </pivotArea>
    </chartFormat>
    <chartFormat chart="10" format="27" series="1">
      <pivotArea type="data" outline="0" fieldPosition="0">
        <references count="2">
          <reference field="4294967294" count="1" selected="0">
            <x v="0"/>
          </reference>
          <reference field="4" count="1" selected="0">
            <x v="28"/>
          </reference>
        </references>
      </pivotArea>
    </chartFormat>
    <chartFormat chart="10" format="28" series="1">
      <pivotArea type="data" outline="0" fieldPosition="0">
        <references count="2">
          <reference field="4294967294" count="1" selected="0">
            <x v="0"/>
          </reference>
          <reference field="4" count="1" selected="0">
            <x v="29"/>
          </reference>
        </references>
      </pivotArea>
    </chartFormat>
    <chartFormat chart="10" format="29" series="1">
      <pivotArea type="data" outline="0" fieldPosition="0">
        <references count="2">
          <reference field="4294967294" count="1" selected="0">
            <x v="0"/>
          </reference>
          <reference field="4" count="1" selected="0">
            <x v="30"/>
          </reference>
        </references>
      </pivotArea>
    </chartFormat>
    <chartFormat chart="10" format="30" series="1">
      <pivotArea type="data" outline="0" fieldPosition="0">
        <references count="2">
          <reference field="4294967294" count="1" selected="0">
            <x v="0"/>
          </reference>
          <reference field="4" count="1" selected="0">
            <x v="31"/>
          </reference>
        </references>
      </pivotArea>
    </chartFormat>
    <chartFormat chart="10" format="31" series="1">
      <pivotArea type="data" outline="0" fieldPosition="0">
        <references count="2">
          <reference field="4294967294" count="1" selected="0">
            <x v="0"/>
          </reference>
          <reference field="4" count="1" selected="0">
            <x v="32"/>
          </reference>
        </references>
      </pivotArea>
    </chartFormat>
    <chartFormat chart="10" format="32" series="1">
      <pivotArea type="data" outline="0" fieldPosition="0">
        <references count="2">
          <reference field="4294967294" count="1" selected="0">
            <x v="0"/>
          </reference>
          <reference field="4" count="1" selected="0">
            <x v="33"/>
          </reference>
        </references>
      </pivotArea>
    </chartFormat>
    <chartFormat chart="10" format="33" series="1">
      <pivotArea type="data" outline="0" fieldPosition="0">
        <references count="2">
          <reference field="4294967294" count="1" selected="0">
            <x v="0"/>
          </reference>
          <reference field="4" count="1" selected="0">
            <x v="34"/>
          </reference>
        </references>
      </pivotArea>
    </chartFormat>
    <chartFormat chart="10" format="34" series="1">
      <pivotArea type="data" outline="0" fieldPosition="0">
        <references count="2">
          <reference field="4294967294" count="1" selected="0">
            <x v="0"/>
          </reference>
          <reference field="4" count="1" selected="0">
            <x v="35"/>
          </reference>
        </references>
      </pivotArea>
    </chartFormat>
    <chartFormat chart="10" format="35" series="1">
      <pivotArea type="data" outline="0" fieldPosition="0">
        <references count="2">
          <reference field="4294967294" count="1" selected="0">
            <x v="0"/>
          </reference>
          <reference field="4" count="1" selected="0">
            <x v="36"/>
          </reference>
        </references>
      </pivotArea>
    </chartFormat>
    <chartFormat chart="10" format="36" series="1">
      <pivotArea type="data" outline="0" fieldPosition="0">
        <references count="2">
          <reference field="4294967294" count="1" selected="0">
            <x v="0"/>
          </reference>
          <reference field="4" count="1" selected="0">
            <x v="5"/>
          </reference>
        </references>
      </pivotArea>
    </chartFormat>
    <chartFormat chart="12" format="42" series="1">
      <pivotArea type="data" outline="0" fieldPosition="0">
        <references count="2">
          <reference field="4294967294" count="1" selected="0">
            <x v="0"/>
          </reference>
          <reference field="4" count="1" selected="0">
            <x v="0"/>
          </reference>
        </references>
      </pivotArea>
    </chartFormat>
    <chartFormat chart="12" format="43" series="1">
      <pivotArea type="data" outline="0" fieldPosition="0">
        <references count="2">
          <reference field="4294967294" count="1" selected="0">
            <x v="0"/>
          </reference>
          <reference field="4" count="1" selected="0">
            <x v="1"/>
          </reference>
        </references>
      </pivotArea>
    </chartFormat>
    <chartFormat chart="12" format="44" series="1">
      <pivotArea type="data" outline="0" fieldPosition="0">
        <references count="2">
          <reference field="4294967294" count="1" selected="0">
            <x v="0"/>
          </reference>
          <reference field="4" count="1" selected="0">
            <x v="2"/>
          </reference>
        </references>
      </pivotArea>
    </chartFormat>
    <chartFormat chart="12" format="45" series="1">
      <pivotArea type="data" outline="0" fieldPosition="0">
        <references count="2">
          <reference field="4294967294" count="1" selected="0">
            <x v="0"/>
          </reference>
          <reference field="4" count="1" selected="0">
            <x v="3"/>
          </reference>
        </references>
      </pivotArea>
    </chartFormat>
    <chartFormat chart="12" format="46" series="1">
      <pivotArea type="data" outline="0" fieldPosition="0">
        <references count="2">
          <reference field="4294967294" count="1" selected="0">
            <x v="0"/>
          </reference>
          <reference field="4" count="1" selected="0">
            <x v="4"/>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7" iMeasureHier="19">
      <autoFilter ref="A1">
        <filterColumn colId="0">
          <top10 val="2" filterVal="2"/>
        </filterColumn>
      </autoFilter>
    </filter>
    <filter fld="1" type="count" id="10" iMeasureHier="19">
      <autoFilter ref="A1">
        <filterColumn colId="0">
          <top10 val="2" filterVal="2"/>
        </filterColumn>
      </autoFilter>
    </filter>
    <filter fld="4" type="count" id="25" iMeasureHier="19">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DAE586-9168-48D1-8547-22DD39167891}" name="PivotTable7" cacheId="2" applyNumberFormats="0" applyBorderFormats="0" applyFontFormats="0" applyPatternFormats="0" applyAlignmentFormats="0" applyWidthHeightFormats="1" dataCaption="Values" tag="c2191f78-9bb3-4991-b7d4-26ed5e551bbb" updatedVersion="8" minRefreshableVersion="3" useAutoFormatting="1" subtotalHiddenItems="1" itemPrintTitles="1" createdVersion="5" indent="0" outline="1" outlineData="1" multipleFieldFilters="0" chartFormat="15">
  <location ref="A1:B9" firstHeaderRow="1" firstDataRow="1" firstDataCol="1"/>
  <pivotFields count="7">
    <pivotField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allDrilled="1" subtotalTop="0" showAll="0" measureFilter="1" dataSourceSort="1" defaultSubtotal="0" defaultAttributeDrillState="1">
      <items count="9">
        <item x="0"/>
        <item x="1"/>
        <item x="2"/>
        <item x="3"/>
        <item x="4"/>
        <item x="5"/>
        <item x="6"/>
        <item x="7"/>
        <item x="8"/>
      </items>
    </pivotField>
    <pivotField allDrilled="1" subtotalTop="0" showAll="0" sortType="ascending" defaultSubtotal="0" defaultAttributeDrillState="1">
      <items count="9">
        <item s="1" x="0"/>
        <item s="1" x="1"/>
        <item s="1" x="2"/>
        <item s="1" x="3"/>
        <item s="1" x="4"/>
        <item s="1" x="5"/>
        <item s="1" x="6"/>
        <item s="1" x="7"/>
        <item s="1" x="8"/>
      </items>
    </pivotField>
    <pivotField allDrilled="1" subtotalTop="0" showAll="0" measureFilter="1" dataSourceSort="1" defaultSubtotal="0" defaultAttributeDrillState="1">
      <items count="4">
        <item x="0"/>
        <item x="1"/>
        <item x="2"/>
        <item x="3"/>
      </items>
    </pivotField>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5"/>
  </rowFields>
  <rowItems count="8">
    <i>
      <x/>
    </i>
    <i>
      <x v="1"/>
    </i>
    <i>
      <x v="2"/>
    </i>
    <i>
      <x v="3"/>
    </i>
    <i>
      <x v="4"/>
    </i>
    <i>
      <x v="5"/>
    </i>
    <i>
      <x v="6"/>
    </i>
    <i t="grand">
      <x/>
    </i>
  </rowItems>
  <colItems count="1">
    <i/>
  </colItems>
  <dataFields count="1">
    <dataField name="Average of actual_travel_time_min" fld="6" subtotal="average" baseField="5" baseItem="0"/>
  </dataFields>
  <chartFormats count="2">
    <chartFormat chart="8" format="178" series="1">
      <pivotArea type="data" outline="0" fieldPosition="0">
        <references count="1">
          <reference field="4294967294" count="1" selected="0">
            <x v="0"/>
          </reference>
        </references>
      </pivotArea>
    </chartFormat>
    <chartFormat chart="14" format="18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actual_travel_time_min"/>
    <pivotHierarchy dragToData="1" caption="Average of actual_travel_time_min"/>
  </pivotHierarchies>
  <pivotTableStyleInfo name="PivotStyleLight16" showRowHeaders="1" showColHeaders="1" showRowStripes="0" showColStripes="0" showLastColumn="1"/>
  <filters count="2">
    <filter fld="3" type="count" id="7" iMeasureHier="19">
      <autoFilter ref="A1">
        <filterColumn colId="0">
          <top10 val="2" filterVal="2"/>
        </filterColumn>
      </autoFilter>
    </filter>
    <filter fld="1" type="count" id="10" iMeasureHier="19">
      <autoFilter ref="A1">
        <filterColumn colId="0">
          <top10 val="2" filterVal="2"/>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A63C51-45B8-4D92-87D6-22AE02473145}" name="PivotTable1" cacheId="5" applyNumberFormats="0" applyBorderFormats="0" applyFontFormats="0" applyPatternFormats="0" applyAlignmentFormats="0" applyWidthHeightFormats="1" dataCaption="Values" tag="47f2f2b2-d387-450d-a3de-49c92802cd58" updatedVersion="8" minRefreshableVersion="3" useAutoFormatting="1" subtotalHiddenItems="1" itemPrintTitles="1" createdVersion="5" indent="0" outline="1" outlineData="1" multipleFieldFilters="0" chartFormat="22">
  <location ref="A1:H13" firstHeaderRow="1" firstDataRow="2" firstDataCol="1"/>
  <pivotFields count="4">
    <pivotField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dataField="1" subtotalTop="0" showAll="0" defaultSubtotal="0"/>
    <pivotField axis="axisRow" allDrilled="1" subtotalTop="0" showAll="0" dataSourceSort="1" defaultSubtotal="0" defaultAttributeDrillState="1">
      <items count="10">
        <item s="1" x="0"/>
        <item s="1" x="1"/>
        <item s="1" x="2"/>
        <item s="1" x="3"/>
        <item s="1" x="4"/>
        <item s="1" x="5"/>
        <item s="1" x="6"/>
        <item s="1" x="7"/>
        <item s="1" x="8"/>
        <item s="1" x="9"/>
      </items>
    </pivotField>
    <pivotField axis="axisCol" allDrilled="1" subtotalTop="0" showAll="0" dataSourceSort="1" defaultSubtotal="0" defaultAttributeDrillState="1">
      <items count="8">
        <item x="0"/>
        <item x="1"/>
        <item x="2"/>
        <item x="3"/>
        <item x="4"/>
        <item x="5"/>
        <item x="6"/>
        <item x="7"/>
      </items>
    </pivotField>
  </pivotFields>
  <rowFields count="1">
    <field x="2"/>
  </rowFields>
  <rowItems count="11">
    <i>
      <x/>
    </i>
    <i>
      <x v="1"/>
    </i>
    <i>
      <x v="2"/>
    </i>
    <i>
      <x v="3"/>
    </i>
    <i>
      <x v="4"/>
    </i>
    <i>
      <x v="5"/>
    </i>
    <i>
      <x v="6"/>
    </i>
    <i>
      <x v="7"/>
    </i>
    <i>
      <x v="8"/>
    </i>
    <i>
      <x v="9"/>
    </i>
    <i t="grand">
      <x/>
    </i>
  </rowItems>
  <colFields count="1">
    <field x="3"/>
  </colFields>
  <colItems count="7">
    <i>
      <x/>
    </i>
    <i>
      <x v="1"/>
    </i>
    <i>
      <x v="2"/>
    </i>
    <i>
      <x v="3"/>
    </i>
    <i>
      <x v="4"/>
    </i>
    <i>
      <x v="5"/>
    </i>
    <i t="grand">
      <x/>
    </i>
  </colItems>
  <dataFields count="1">
    <dataField name="Sum of congestion_index" fld="1" baseField="0" baseItem="0"/>
  </dataFields>
  <chartFormats count="3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3" count="1" selected="0">
            <x v="2"/>
          </reference>
        </references>
      </pivotArea>
    </chartFormat>
    <chartFormat chart="9" format="5" series="1">
      <pivotArea type="data" outline="0" fieldPosition="0">
        <references count="2">
          <reference field="4294967294" count="1" selected="0">
            <x v="0"/>
          </reference>
          <reference field="3" count="1" selected="0">
            <x v="3"/>
          </reference>
        </references>
      </pivotArea>
    </chartFormat>
    <chartFormat chart="9" format="6" series="1">
      <pivotArea type="data" outline="0" fieldPosition="0">
        <references count="2">
          <reference field="4294967294" count="1" selected="0">
            <x v="0"/>
          </reference>
          <reference field="3" count="1" selected="0">
            <x v="4"/>
          </reference>
        </references>
      </pivotArea>
    </chartFormat>
    <chartFormat chart="9" format="7" series="1">
      <pivotArea type="data" outline="0" fieldPosition="0">
        <references count="2">
          <reference field="4294967294" count="1" selected="0">
            <x v="0"/>
          </reference>
          <reference field="3" count="1" selected="0">
            <x v="5"/>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5"/>
          </reference>
        </references>
      </pivotArea>
    </chartFormat>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6"/>
          </reference>
        </references>
      </pivotArea>
    </chartFormat>
    <chartFormat chart="7" format="9" series="1">
      <pivotArea type="data" outline="0" fieldPosition="0">
        <references count="2">
          <reference field="4294967294" count="1" selected="0">
            <x v="0"/>
          </reference>
          <reference field="3" count="1" selected="0">
            <x v="7"/>
          </reference>
        </references>
      </pivotArea>
    </chartFormat>
    <chartFormat chart="9" format="10" series="1">
      <pivotArea type="data" outline="0" fieldPosition="0">
        <references count="2">
          <reference field="4294967294" count="1" selected="0">
            <x v="0"/>
          </reference>
          <reference field="3" count="1" selected="0">
            <x v="7"/>
          </reference>
        </references>
      </pivotArea>
    </chartFormat>
    <chartFormat chart="20" format="16" series="1">
      <pivotArea type="data" outline="0" fieldPosition="0">
        <references count="2">
          <reference field="4294967294" count="1" selected="0">
            <x v="0"/>
          </reference>
          <reference field="3" count="1" selected="0">
            <x v="0"/>
          </reference>
        </references>
      </pivotArea>
    </chartFormat>
    <chartFormat chart="20" format="17" series="1">
      <pivotArea type="data" outline="0" fieldPosition="0">
        <references count="2">
          <reference field="4294967294" count="1" selected="0">
            <x v="0"/>
          </reference>
          <reference field="3" count="1" selected="0">
            <x v="1"/>
          </reference>
        </references>
      </pivotArea>
    </chartFormat>
    <chartFormat chart="20" format="18" series="1">
      <pivotArea type="data" outline="0" fieldPosition="0">
        <references count="2">
          <reference field="4294967294" count="1" selected="0">
            <x v="0"/>
          </reference>
          <reference field="3" count="1" selected="0">
            <x v="2"/>
          </reference>
        </references>
      </pivotArea>
    </chartFormat>
    <chartFormat chart="20" format="19" series="1">
      <pivotArea type="data" outline="0" fieldPosition="0">
        <references count="2">
          <reference field="4294967294" count="1" selected="0">
            <x v="0"/>
          </reference>
          <reference field="3" count="1" selected="0">
            <x v="3"/>
          </reference>
        </references>
      </pivotArea>
    </chartFormat>
    <chartFormat chart="20" format="20" series="1">
      <pivotArea type="data" outline="0" fieldPosition="0">
        <references count="2">
          <reference field="4294967294" count="1" selected="0">
            <x v="0"/>
          </reference>
          <reference field="3" count="1" selected="0">
            <x v="4"/>
          </reference>
        </references>
      </pivotArea>
    </chartFormat>
    <chartFormat chart="20" format="21" series="1">
      <pivotArea type="data" outline="0" fieldPosition="0">
        <references count="2">
          <reference field="4294967294" count="1" selected="0">
            <x v="0"/>
          </reference>
          <reference field="3" count="1" selected="0">
            <x v="5"/>
          </reference>
        </references>
      </pivotArea>
    </chartFormat>
    <chartFormat chart="20" format="22" series="1">
      <pivotArea type="data" outline="0" fieldPosition="0">
        <references count="2">
          <reference field="4294967294" count="1" selected="0">
            <x v="0"/>
          </reference>
          <reference field="3" count="1" selected="0">
            <x v="7"/>
          </reference>
        </references>
      </pivotArea>
    </chartFormat>
    <chartFormat chart="20" format="23" series="1">
      <pivotArea type="data" outline="0" fieldPosition="0">
        <references count="2">
          <reference field="4294967294" count="1" selected="0">
            <x v="0"/>
          </reference>
          <reference field="3" count="1" selected="0">
            <x v="6"/>
          </reference>
        </references>
      </pivotArea>
    </chartFormat>
    <chartFormat chart="21" format="10" series="1">
      <pivotArea type="data" outline="0" fieldPosition="0">
        <references count="2">
          <reference field="4294967294" count="1" selected="0">
            <x v="0"/>
          </reference>
          <reference field="3" count="1" selected="0">
            <x v="0"/>
          </reference>
        </references>
      </pivotArea>
    </chartFormat>
    <chartFormat chart="21" format="11" series="1">
      <pivotArea type="data" outline="0" fieldPosition="0">
        <references count="2">
          <reference field="4294967294" count="1" selected="0">
            <x v="0"/>
          </reference>
          <reference field="3" count="1" selected="0">
            <x v="1"/>
          </reference>
        </references>
      </pivotArea>
    </chartFormat>
    <chartFormat chart="21" format="12" series="1">
      <pivotArea type="data" outline="0" fieldPosition="0">
        <references count="2">
          <reference field="4294967294" count="1" selected="0">
            <x v="0"/>
          </reference>
          <reference field="3" count="1" selected="0">
            <x v="2"/>
          </reference>
        </references>
      </pivotArea>
    </chartFormat>
    <chartFormat chart="21" format="13" series="1">
      <pivotArea type="data" outline="0" fieldPosition="0">
        <references count="2">
          <reference field="4294967294" count="1" selected="0">
            <x v="0"/>
          </reference>
          <reference field="3" count="1" selected="0">
            <x v="3"/>
          </reference>
        </references>
      </pivotArea>
    </chartFormat>
    <chartFormat chart="21" format="14" series="1">
      <pivotArea type="data" outline="0" fieldPosition="0">
        <references count="2">
          <reference field="4294967294" count="1" selected="0">
            <x v="0"/>
          </reference>
          <reference field="3" count="1" selected="0">
            <x v="4"/>
          </reference>
        </references>
      </pivotArea>
    </chartFormat>
    <chartFormat chart="21" format="15" series="1">
      <pivotArea type="data" outline="0" fieldPosition="0">
        <references count="2">
          <reference field="4294967294" count="1" selected="0">
            <x v="0"/>
          </reference>
          <reference field="3" count="1" selected="0">
            <x v="5"/>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ff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CCF1FE0-8BE4-479C-87C9-37BE01E1EEFD}" sourceName="[traffc].[date (Month)]">
  <pivotTables>
    <pivotTable tabId="7" name="PivotTable1"/>
  </pivotTables>
  <data>
    <olap pivotCacheId="1089088625">
      <levels count="2">
        <level uniqueName="[traffc].[date (Month)].[(All)]" sourceCaption="(All)" count="0"/>
        <level uniqueName="[traffc].[date (Month)].[date (Month)]" sourceCaption="date (Month)" count="9">
          <ranges>
            <range startItem="0">
              <i n="[traffc].[date (Month)].&amp;[Mar]" c="Mar"/>
              <i n="[traffc].[date (Month)].&amp;[Apr]" c="Apr"/>
              <i n="[traffc].[date (Month)].&amp;[May]" c="May"/>
              <i n="[traffc].[date (Month)].&amp;[Aug]" c="Aug"/>
              <i n="[traffc].[date (Month)].&amp;[Sep]" c="Sep"/>
              <i n="[traffc].[date (Month)].&amp;[Oct]" c="Oct"/>
              <i n="[traffc].[date (Month)].&amp;[Nov]" c="Nov"/>
              <i n="[traffc].[date (Month)].&amp;[Dec]" c="Dec"/>
              <i n="[traffc].[date (Month)].&amp;[]" c="" nd="1"/>
            </range>
          </ranges>
        </level>
      </levels>
      <selections count="1">
        <selection n="[traffc].[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A450F7B-2721-4A08-A1B8-92C5FBC13399}" sourceName="[traffc].[date (Year)]">
  <pivotTables>
    <pivotTable tabId="7" name="PivotTable1"/>
  </pivotTables>
  <data>
    <olap pivotCacheId="1089088625">
      <levels count="2">
        <level uniqueName="[traffc].[date (Year)].[(All)]" sourceCaption="(All)" count="0"/>
        <level uniqueName="[traffc].[date (Year)].[date (Year)]" sourceCaption="date (Year)" count="4">
          <ranges>
            <range startItem="0">
              <i n="[traffc].[date (Year)].&amp;[2022]" c="2022"/>
              <i n="[traffc].[date (Year)].&amp;[2023]" c="2023"/>
              <i n="[traffc].[date (Year)].&amp;[2024]" c="2024"/>
              <i n="[traffc].[date (Year)].&amp;[]" c="" nd="1"/>
            </range>
          </ranges>
        </level>
      </levels>
      <selections count="1">
        <selection n="[traffc].[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59AB59FE-9E54-4762-8457-7210A2BAFA50}" sourceName="[traffc].[day_of_week]">
  <pivotTables>
    <pivotTable tabId="7" name="PivotTable1"/>
  </pivotTables>
  <data>
    <olap pivotCacheId="1089088625">
      <levels count="2">
        <level uniqueName="[traffc].[day_of_week].[(All)]" sourceCaption="(All)" count="0"/>
        <level uniqueName="[traffc].[day_of_week].[day_of_week]" sourceCaption="day_of_week" count="7">
          <ranges>
            <range startItem="0">
              <i n="[traffc].[day_of_week].&amp;[Friday]" c="Friday"/>
              <i n="[traffc].[day_of_week].&amp;[Monday]" c="Monday"/>
              <i n="[traffc].[day_of_week].&amp;[Saturday]" c="Saturday"/>
              <i n="[traffc].[day_of_week].&amp;[Sunday]" c="Sunday"/>
              <i n="[traffc].[day_of_week].&amp;[Thursday]" c="Thursday"/>
              <i n="[traffc].[day_of_week].&amp;[Tuesday]" c="Tuesday"/>
              <i n="[traffc].[day_of_week].&amp;[Wednesday]" c="Wednesday"/>
            </range>
          </ranges>
        </level>
      </levels>
      <selections count="1">
        <selection n="[traffc].[day_of_week].[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 xr10:uid="{48BDBC4B-D5E2-44FA-945B-93416C67DEDF}" sourceName="[traffc].[festival]">
  <pivotTables>
    <pivotTable tabId="7" name="PivotTable1"/>
  </pivotTables>
  <data>
    <olap pivotCacheId="1089088625">
      <levels count="2">
        <level uniqueName="[traffc].[festival].[(All)]" sourceCaption="(All)" count="0"/>
        <level uniqueName="[traffc].[festival].[festival]" sourceCaption="festival" count="11">
          <ranges>
            <range startItem="0">
              <i n="[traffc].[festival].&amp;" c="(blank)"/>
              <i n="[traffc].[festival].&amp;[Christmas/NewYear]" c="Christmas/NewYear"/>
              <i n="[traffc].[festival].&amp;[Diwali]" c="Diwali"/>
              <i n="[traffc].[festival].&amp;[Eid]" c="Eid"/>
              <i n="[traffc].[festival].&amp;[Ganesh Chaturthi]" c="Ganesh Chaturthi"/>
              <i n="[traffc].[festival].&amp;[Gudi Padwa]" c="Gudi Padwa"/>
              <i n="[traffc].[festival].&amp;[Holi]" c="Holi"/>
              <i n="[traffc].[festival].&amp;[Independence Day]" c="Independence Day"/>
              <i n="[traffc].[festival].&amp;[Janmashtami]" c="Janmashtami"/>
              <i n="[traffc].[festival].&amp;[Navratri]" c="Navratri"/>
              <i n="[traffc].[festival].&amp;[Ramadan Evenings]" c="Ramadan Evenings"/>
            </range>
          </ranges>
        </level>
      </levels>
      <selections count="10">
        <selection n="[traffc].[festival].&amp;[Christmas/NewYear]"/>
        <selection n="[traffc].[festival].&amp;[Diwali]"/>
        <selection n="[traffc].[festival].&amp;[Eid]"/>
        <selection n="[traffc].[festival].&amp;[Ganesh Chaturthi]"/>
        <selection n="[traffc].[festival].&amp;[Gudi Padwa]"/>
        <selection n="[traffc].[festival].&amp;[Holi]"/>
        <selection n="[traffc].[festival].&amp;[Independence Day]"/>
        <selection n="[traffc].[festival].&amp;[Janmashtami]"/>
        <selection n="[traffc].[festival].&amp;[Navratri]"/>
        <selection n="[traffc].[festival].&amp;[Ramadan Evening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6BDB8217-FC33-4F2D-8BF1-EEEB511AA297}" sourceName="[traffc].[weather]">
  <pivotTables>
    <pivotTable tabId="7" name="PivotTable1"/>
  </pivotTables>
  <data>
    <olap pivotCacheId="1089088625">
      <levels count="2">
        <level uniqueName="[traffc].[weather].[(All)]" sourceCaption="(All)" count="0"/>
        <level uniqueName="[traffc].[weather].[weather]" sourceCaption="weather" count="8">
          <ranges>
            <range startItem="0">
              <i n="[traffc].[weather].&amp;[Clear]" c="Clear"/>
              <i n="[traffc].[weather].&amp;[Cloudy]" c="Cloudy"/>
              <i n="[traffc].[weather].&amp;[Fog]" c="Fog"/>
              <i n="[traffc].[weather].&amp;[Heavy Rain]" c="Heavy Rain"/>
              <i n="[traffc].[weather].&amp;[Rain]" c="Rain"/>
              <i n="[traffc].[weather].&amp;[Storm]" c="Storm"/>
              <i n="[traffc].[weather].&amp;[Rainy]" c="Rainy" nd="1"/>
              <i n="[traffc].[weather].&amp;[Stormy]" c="Stormy" nd="1"/>
            </range>
          </ranges>
        </level>
      </levels>
      <selections count="1">
        <selection n="[traffc].[weath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388E280-CD3F-4ED6-9238-08D3A9BCC037}" cache="Slicer_date__Month" caption="date (Month)" level="1" rowHeight="234950"/>
  <slicer name="date (Year)" xr10:uid="{9B779511-0D46-4DF4-BA64-0E5C62691CF0}" cache="Slicer_date__Year" caption="date (Year)" level="1" rowHeight="234950"/>
  <slicer name="day_of_week" xr10:uid="{4774A655-230A-4E67-9FDD-2FB491DF7C31}" cache="Slicer_day_of_week" caption="day_of_week" level="1" rowHeight="234950"/>
  <slicer name="festival" xr10:uid="{8866E2B3-C159-48BA-98E4-EA80A2E8D3A5}" cache="Slicer_festival" caption="festival" startItem="1" level="1" rowHeight="234950"/>
  <slicer name="weather" xr10:uid="{08EE5F6A-97F9-46C5-B282-8E0B302C6261}" cache="Slicer_weather" caption="weather" startItem="1" level="1" rowHeight="234950"/>
</slicers>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C033-762E-47CD-931F-B53F1820334E}">
  <dimension ref="A1:W4"/>
  <sheetViews>
    <sheetView showGridLines="0" tabSelected="1" zoomScale="90" zoomScaleNormal="90" zoomScaleSheetLayoutView="90" workbookViewId="0">
      <selection activeCell="A18" sqref="A18"/>
    </sheetView>
  </sheetViews>
  <sheetFormatPr defaultRowHeight="14.4" x14ac:dyDescent="0.3"/>
  <sheetData>
    <row r="1" spans="1:23" x14ac:dyDescent="0.3">
      <c r="A1" s="4" t="s">
        <v>43</v>
      </c>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sheetData>
  <mergeCells count="1">
    <mergeCell ref="A1:W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5551-6ABA-4894-805C-CA7F6370115C}">
  <dimension ref="A1:B10"/>
  <sheetViews>
    <sheetView workbookViewId="0">
      <selection sqref="A1:B10"/>
    </sheetView>
  </sheetViews>
  <sheetFormatPr defaultRowHeight="14.4" x14ac:dyDescent="0.3"/>
  <cols>
    <col min="1" max="1" width="12.5546875" customWidth="1"/>
    <col min="2" max="3" width="15.77734375" customWidth="1"/>
  </cols>
  <sheetData>
    <row r="1" spans="1:2" x14ac:dyDescent="0.3">
      <c r="A1" s="1" t="s">
        <v>0</v>
      </c>
      <c r="B1" t="s">
        <v>13</v>
      </c>
    </row>
    <row r="2" spans="1:2" x14ac:dyDescent="0.3">
      <c r="A2" s="2" t="s">
        <v>7</v>
      </c>
      <c r="B2">
        <v>2846</v>
      </c>
    </row>
    <row r="3" spans="1:2" x14ac:dyDescent="0.3">
      <c r="A3" s="2" t="s">
        <v>8</v>
      </c>
      <c r="B3">
        <v>1188</v>
      </c>
    </row>
    <row r="4" spans="1:2" x14ac:dyDescent="0.3">
      <c r="A4" s="2" t="s">
        <v>9</v>
      </c>
      <c r="B4">
        <v>25</v>
      </c>
    </row>
    <row r="5" spans="1:2" x14ac:dyDescent="0.3">
      <c r="A5" s="2" t="s">
        <v>10</v>
      </c>
      <c r="B5">
        <v>258</v>
      </c>
    </row>
    <row r="6" spans="1:2" x14ac:dyDescent="0.3">
      <c r="A6" s="2" t="s">
        <v>11</v>
      </c>
      <c r="B6">
        <v>264</v>
      </c>
    </row>
    <row r="7" spans="1:2" x14ac:dyDescent="0.3">
      <c r="A7" s="2" t="s">
        <v>14</v>
      </c>
      <c r="B7">
        <v>1168</v>
      </c>
    </row>
    <row r="8" spans="1:2" x14ac:dyDescent="0.3">
      <c r="A8" s="2" t="s">
        <v>12</v>
      </c>
      <c r="B8">
        <v>151</v>
      </c>
    </row>
    <row r="9" spans="1:2" x14ac:dyDescent="0.3">
      <c r="A9" s="2" t="s">
        <v>15</v>
      </c>
      <c r="B9">
        <v>223</v>
      </c>
    </row>
    <row r="10" spans="1:2" x14ac:dyDescent="0.3">
      <c r="A10" s="2" t="s">
        <v>1</v>
      </c>
      <c r="B10">
        <v>6123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B58E-9A4B-4014-B76B-D67F365E991A}">
  <dimension ref="B3:C7"/>
  <sheetViews>
    <sheetView workbookViewId="0">
      <selection activeCell="H8" sqref="H8"/>
    </sheetView>
  </sheetViews>
  <sheetFormatPr defaultRowHeight="14.4" x14ac:dyDescent="0.3"/>
  <cols>
    <col min="2" max="2" width="12.5546875" customWidth="1"/>
    <col min="3" max="4" width="27.77734375" customWidth="1"/>
  </cols>
  <sheetData>
    <row r="3" spans="2:3" x14ac:dyDescent="0.3">
      <c r="B3" s="1" t="s">
        <v>0</v>
      </c>
      <c r="C3" t="s">
        <v>3</v>
      </c>
    </row>
    <row r="4" spans="2:3" x14ac:dyDescent="0.3">
      <c r="B4" s="2" t="s">
        <v>4</v>
      </c>
      <c r="C4">
        <v>84338.699999999983</v>
      </c>
    </row>
    <row r="5" spans="2:3" x14ac:dyDescent="0.3">
      <c r="B5" s="2" t="s">
        <v>5</v>
      </c>
      <c r="C5">
        <v>18672.700000000004</v>
      </c>
    </row>
    <row r="6" spans="2:3" x14ac:dyDescent="0.3">
      <c r="B6" s="2" t="s">
        <v>6</v>
      </c>
      <c r="C6">
        <v>67826.800000000017</v>
      </c>
    </row>
    <row r="7" spans="2:3" x14ac:dyDescent="0.3">
      <c r="B7" s="2" t="s">
        <v>1</v>
      </c>
      <c r="C7">
        <v>170838.2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F8C8-DB88-4C5A-A096-97D72E440150}">
  <dimension ref="A1:H12"/>
  <sheetViews>
    <sheetView workbookViewId="0">
      <selection activeCell="B20" sqref="B20"/>
    </sheetView>
  </sheetViews>
  <sheetFormatPr defaultRowHeight="14.4" x14ac:dyDescent="0.3"/>
  <cols>
    <col min="1" max="1" width="22.5546875" customWidth="1"/>
    <col min="2" max="2" width="17.77734375" customWidth="1"/>
    <col min="3" max="4" width="6" customWidth="1"/>
    <col min="5" max="5" width="15.6640625" customWidth="1"/>
    <col min="6" max="6" width="16.88671875" customWidth="1"/>
    <col min="7" max="7" width="12.109375" customWidth="1"/>
    <col min="8" max="8" width="10.77734375" customWidth="1"/>
  </cols>
  <sheetData>
    <row r="1" spans="1:8" x14ac:dyDescent="0.3">
      <c r="A1" s="1" t="s">
        <v>2</v>
      </c>
      <c r="B1" s="1" t="s">
        <v>30</v>
      </c>
    </row>
    <row r="2" spans="1:8" x14ac:dyDescent="0.3">
      <c r="A2" s="1" t="s">
        <v>0</v>
      </c>
      <c r="B2" t="s">
        <v>17</v>
      </c>
      <c r="C2" t="s">
        <v>19</v>
      </c>
      <c r="D2" t="s">
        <v>16</v>
      </c>
      <c r="E2" t="s">
        <v>18</v>
      </c>
      <c r="F2" t="s">
        <v>20</v>
      </c>
      <c r="G2" t="s">
        <v>21</v>
      </c>
      <c r="H2" t="s">
        <v>1</v>
      </c>
    </row>
    <row r="3" spans="1:8" x14ac:dyDescent="0.3">
      <c r="A3" s="3">
        <v>44683</v>
      </c>
      <c r="D3">
        <v>44.55</v>
      </c>
      <c r="H3">
        <v>44.55</v>
      </c>
    </row>
    <row r="4" spans="1:8" x14ac:dyDescent="0.3">
      <c r="A4" s="3">
        <v>44920</v>
      </c>
      <c r="B4">
        <v>43.610000000000007</v>
      </c>
      <c r="H4">
        <v>43.610000000000007</v>
      </c>
    </row>
    <row r="5" spans="1:8" x14ac:dyDescent="0.3">
      <c r="A5" s="3">
        <v>45188</v>
      </c>
      <c r="E5">
        <v>44.699999999999989</v>
      </c>
      <c r="H5">
        <v>44.699999999999989</v>
      </c>
    </row>
    <row r="6" spans="1:8" x14ac:dyDescent="0.3">
      <c r="A6" s="3">
        <v>45242</v>
      </c>
      <c r="C6">
        <v>50.739999999999995</v>
      </c>
      <c r="H6">
        <v>50.739999999999995</v>
      </c>
    </row>
    <row r="7" spans="1:8" x14ac:dyDescent="0.3">
      <c r="A7" s="3">
        <v>45392</v>
      </c>
      <c r="D7">
        <v>47.850000000000009</v>
      </c>
      <c r="H7">
        <v>47.850000000000009</v>
      </c>
    </row>
    <row r="8" spans="1:8" x14ac:dyDescent="0.3">
      <c r="A8" s="3">
        <v>45519</v>
      </c>
      <c r="F8">
        <v>47.96</v>
      </c>
      <c r="H8">
        <v>47.96</v>
      </c>
    </row>
    <row r="9" spans="1:8" x14ac:dyDescent="0.3">
      <c r="A9" s="3">
        <v>45530</v>
      </c>
      <c r="G9">
        <v>49.609999999999992</v>
      </c>
      <c r="H9">
        <v>49.609999999999992</v>
      </c>
    </row>
    <row r="10" spans="1:8" x14ac:dyDescent="0.3">
      <c r="A10" s="3">
        <v>45542</v>
      </c>
      <c r="E10">
        <v>50.269999999999989</v>
      </c>
      <c r="H10">
        <v>50.269999999999989</v>
      </c>
    </row>
    <row r="11" spans="1:8" x14ac:dyDescent="0.3">
      <c r="A11" s="3">
        <v>45651</v>
      </c>
      <c r="B11">
        <v>44.730000000000004</v>
      </c>
      <c r="H11">
        <v>44.730000000000004</v>
      </c>
    </row>
    <row r="12" spans="1:8" x14ac:dyDescent="0.3">
      <c r="A12" s="2" t="s">
        <v>1</v>
      </c>
      <c r="B12">
        <v>88.34</v>
      </c>
      <c r="C12">
        <v>50.739999999999995</v>
      </c>
      <c r="D12">
        <v>92.399999999999963</v>
      </c>
      <c r="E12">
        <v>94.970000000000027</v>
      </c>
      <c r="F12">
        <v>47.96</v>
      </c>
      <c r="G12">
        <v>49.609999999999992</v>
      </c>
      <c r="H12">
        <v>424.02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7F31-4092-4E84-8D6F-F5BB7E9BB2DF}">
  <dimension ref="A1:G12"/>
  <sheetViews>
    <sheetView workbookViewId="0">
      <selection activeCell="A3" sqref="A3:G11"/>
    </sheetView>
  </sheetViews>
  <sheetFormatPr defaultRowHeight="14.4" x14ac:dyDescent="0.3"/>
  <cols>
    <col min="1" max="1" width="22.5546875" customWidth="1"/>
    <col min="2" max="2" width="15.5546875" customWidth="1"/>
    <col min="3" max="3" width="6.77734375" customWidth="1"/>
    <col min="4" max="4" width="6" customWidth="1"/>
    <col min="5" max="5" width="9.88671875" customWidth="1"/>
    <col min="6" max="6" width="6" customWidth="1"/>
    <col min="7" max="7" width="10.77734375" customWidth="1"/>
    <col min="8" max="8" width="7.21875" customWidth="1"/>
    <col min="9" max="9" width="7" bestFit="1" customWidth="1"/>
    <col min="10" max="10" width="8.77734375" bestFit="1" customWidth="1"/>
    <col min="11" max="11" width="6.77734375" bestFit="1" customWidth="1"/>
    <col min="12" max="12" width="15.44140625" bestFit="1" customWidth="1"/>
    <col min="13" max="13" width="5" bestFit="1" customWidth="1"/>
    <col min="14" max="14" width="6" bestFit="1" customWidth="1"/>
    <col min="15" max="15" width="8.44140625" bestFit="1" customWidth="1"/>
    <col min="16" max="16" width="19.33203125" bestFit="1" customWidth="1"/>
    <col min="17" max="17" width="6" bestFit="1" customWidth="1"/>
    <col min="18" max="18" width="9.88671875" bestFit="1" customWidth="1"/>
    <col min="19" max="19" width="7.5546875" bestFit="1" customWidth="1"/>
    <col min="20" max="20" width="9.21875" bestFit="1" customWidth="1"/>
    <col min="21" max="21" width="5" bestFit="1" customWidth="1"/>
    <col min="22" max="22" width="6.6640625" bestFit="1" customWidth="1"/>
    <col min="23" max="23" width="5.33203125" bestFit="1" customWidth="1"/>
    <col min="24" max="24" width="7.5546875" bestFit="1" customWidth="1"/>
    <col min="25" max="25" width="6.33203125" bestFit="1" customWidth="1"/>
    <col min="26" max="26" width="11.6640625" bestFit="1" customWidth="1"/>
    <col min="27" max="27" width="8.6640625" bestFit="1" customWidth="1"/>
    <col min="28" max="28" width="19" bestFit="1" customWidth="1"/>
    <col min="29" max="29" width="7.6640625" bestFit="1" customWidth="1"/>
    <col min="30" max="30" width="6" bestFit="1" customWidth="1"/>
    <col min="31" max="31" width="6.6640625" bestFit="1" customWidth="1"/>
    <col min="32" max="32" width="6.109375" bestFit="1" customWidth="1"/>
    <col min="33" max="33" width="5" bestFit="1" customWidth="1"/>
    <col min="34" max="34" width="6.21875" bestFit="1" customWidth="1"/>
    <col min="35" max="35" width="5.5546875" bestFit="1" customWidth="1"/>
    <col min="36" max="36" width="22.6640625" bestFit="1" customWidth="1"/>
    <col min="37" max="37" width="5.44140625" bestFit="1" customWidth="1"/>
    <col min="38" max="39" width="10.77734375" bestFit="1" customWidth="1"/>
  </cols>
  <sheetData>
    <row r="1" spans="1:7" x14ac:dyDescent="0.3">
      <c r="A1" s="1" t="s">
        <v>2</v>
      </c>
      <c r="B1" s="1" t="s">
        <v>30</v>
      </c>
    </row>
    <row r="2" spans="1:7" x14ac:dyDescent="0.3">
      <c r="A2" s="1" t="s">
        <v>0</v>
      </c>
      <c r="B2" t="s">
        <v>33</v>
      </c>
      <c r="C2" t="s">
        <v>42</v>
      </c>
      <c r="D2" t="s">
        <v>34</v>
      </c>
      <c r="E2" t="s">
        <v>37</v>
      </c>
      <c r="F2" t="s">
        <v>39</v>
      </c>
      <c r="G2" t="s">
        <v>1</v>
      </c>
    </row>
    <row r="3" spans="1:7" x14ac:dyDescent="0.3">
      <c r="A3" s="2" t="s">
        <v>34</v>
      </c>
      <c r="B3">
        <v>1.76</v>
      </c>
      <c r="C3">
        <v>0.85</v>
      </c>
      <c r="E3">
        <v>2.74</v>
      </c>
      <c r="F3">
        <v>2.65</v>
      </c>
      <c r="G3">
        <v>8</v>
      </c>
    </row>
    <row r="4" spans="1:7" x14ac:dyDescent="0.3">
      <c r="A4" s="2" t="s">
        <v>39</v>
      </c>
      <c r="B4">
        <v>2.59</v>
      </c>
      <c r="C4">
        <v>0.44</v>
      </c>
      <c r="D4">
        <v>2.88</v>
      </c>
      <c r="E4">
        <v>0.81</v>
      </c>
      <c r="G4">
        <v>6.72</v>
      </c>
    </row>
    <row r="5" spans="1:7" x14ac:dyDescent="0.3">
      <c r="A5" s="2" t="s">
        <v>41</v>
      </c>
      <c r="B5">
        <v>1.79</v>
      </c>
      <c r="C5">
        <v>4.05</v>
      </c>
      <c r="D5">
        <v>4.41</v>
      </c>
      <c r="E5">
        <v>3.88</v>
      </c>
      <c r="G5">
        <v>14.13</v>
      </c>
    </row>
    <row r="6" spans="1:7" x14ac:dyDescent="0.3">
      <c r="A6" s="2" t="s">
        <v>36</v>
      </c>
      <c r="B6">
        <v>0.74</v>
      </c>
      <c r="C6">
        <v>2.7199999999999998</v>
      </c>
      <c r="D6">
        <v>1.93</v>
      </c>
      <c r="E6">
        <v>2.79</v>
      </c>
      <c r="F6">
        <v>1</v>
      </c>
      <c r="G6">
        <v>9.18</v>
      </c>
    </row>
    <row r="7" spans="1:7" x14ac:dyDescent="0.3">
      <c r="A7" s="2" t="s">
        <v>31</v>
      </c>
      <c r="B7">
        <v>1.87</v>
      </c>
      <c r="C7">
        <v>0.85</v>
      </c>
      <c r="D7">
        <v>0.95</v>
      </c>
      <c r="E7">
        <v>2.75</v>
      </c>
      <c r="F7">
        <v>1.68</v>
      </c>
      <c r="G7">
        <v>8.1</v>
      </c>
    </row>
    <row r="8" spans="1:7" x14ac:dyDescent="0.3">
      <c r="A8" s="2" t="s">
        <v>32</v>
      </c>
      <c r="B8">
        <v>2.54</v>
      </c>
      <c r="C8">
        <v>0.7</v>
      </c>
      <c r="D8">
        <v>1.28</v>
      </c>
      <c r="E8">
        <v>2.6100000000000003</v>
      </c>
      <c r="F8">
        <v>2.4400000000000004</v>
      </c>
      <c r="G8">
        <v>9.57</v>
      </c>
    </row>
    <row r="9" spans="1:7" x14ac:dyDescent="0.3">
      <c r="A9" s="2" t="s">
        <v>35</v>
      </c>
      <c r="B9">
        <v>2.67</v>
      </c>
      <c r="C9">
        <v>0.64</v>
      </c>
      <c r="D9">
        <v>1.48</v>
      </c>
      <c r="E9">
        <v>0.88</v>
      </c>
      <c r="F9">
        <v>0.94</v>
      </c>
      <c r="G9">
        <v>6.61</v>
      </c>
    </row>
    <row r="10" spans="1:7" x14ac:dyDescent="0.3">
      <c r="A10" s="2" t="s">
        <v>38</v>
      </c>
      <c r="B10">
        <v>0.9</v>
      </c>
      <c r="C10">
        <v>0.56000000000000005</v>
      </c>
      <c r="D10">
        <v>0.49</v>
      </c>
      <c r="E10">
        <v>4.58</v>
      </c>
      <c r="F10">
        <v>2.7399999999999998</v>
      </c>
      <c r="G10">
        <v>9.27</v>
      </c>
    </row>
    <row r="11" spans="1:7" x14ac:dyDescent="0.3">
      <c r="A11" s="2" t="s">
        <v>40</v>
      </c>
      <c r="B11">
        <v>2.34</v>
      </c>
      <c r="C11">
        <v>2.3200000000000003</v>
      </c>
      <c r="D11">
        <v>2.85</v>
      </c>
      <c r="F11">
        <v>1.1300000000000001</v>
      </c>
      <c r="G11">
        <v>8.64</v>
      </c>
    </row>
    <row r="12" spans="1:7" x14ac:dyDescent="0.3">
      <c r="A12" s="2" t="s">
        <v>1</v>
      </c>
      <c r="B12">
        <v>17.2</v>
      </c>
      <c r="C12">
        <v>13.129999999999999</v>
      </c>
      <c r="D12">
        <v>16.270000000000003</v>
      </c>
      <c r="E12">
        <v>21.04</v>
      </c>
      <c r="F12">
        <v>12.58</v>
      </c>
      <c r="G12">
        <v>80.22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0502-21E6-4081-930C-84A31A3EDFCC}">
  <dimension ref="A1:B9"/>
  <sheetViews>
    <sheetView workbookViewId="0">
      <selection activeCell="B1" sqref="B1"/>
    </sheetView>
  </sheetViews>
  <sheetFormatPr defaultRowHeight="14.4" x14ac:dyDescent="0.3"/>
  <cols>
    <col min="1" max="1" width="12.5546875" customWidth="1"/>
    <col min="2" max="2" width="31" customWidth="1"/>
    <col min="3" max="3" width="22.5546875" customWidth="1"/>
    <col min="4" max="4" width="6" bestFit="1" customWidth="1"/>
    <col min="5" max="5" width="10.33203125" bestFit="1" customWidth="1"/>
    <col min="6" max="6" width="6" bestFit="1" customWidth="1"/>
    <col min="7" max="7" width="6.109375" bestFit="1" customWidth="1"/>
    <col min="8" max="8" width="10.77734375" bestFit="1" customWidth="1"/>
    <col min="9" max="9" width="27.77734375" bestFit="1" customWidth="1"/>
    <col min="10" max="10" width="22.5546875" bestFit="1" customWidth="1"/>
    <col min="11" max="11" width="27.77734375" bestFit="1" customWidth="1"/>
    <col min="12" max="12" width="22.5546875" bestFit="1" customWidth="1"/>
    <col min="13" max="13" width="27.77734375" bestFit="1" customWidth="1"/>
    <col min="14" max="14" width="22.5546875" bestFit="1" customWidth="1"/>
    <col min="15" max="15" width="27.77734375" bestFit="1" customWidth="1"/>
    <col min="16" max="16" width="22.5546875" bestFit="1" customWidth="1"/>
    <col min="17" max="17" width="27.77734375" bestFit="1" customWidth="1"/>
    <col min="18" max="18" width="27.33203125" bestFit="1" customWidth="1"/>
    <col min="19" max="19" width="32.5546875" bestFit="1" customWidth="1"/>
    <col min="20" max="22" width="5" bestFit="1" customWidth="1"/>
    <col min="23" max="23" width="4" bestFit="1" customWidth="1"/>
    <col min="24" max="32" width="5" bestFit="1" customWidth="1"/>
    <col min="33" max="33" width="4" bestFit="1" customWidth="1"/>
    <col min="34" max="42" width="5" bestFit="1" customWidth="1"/>
    <col min="43" max="43" width="4" bestFit="1" customWidth="1"/>
    <col min="44" max="52" width="5" bestFit="1" customWidth="1"/>
    <col min="53" max="53" width="4" bestFit="1" customWidth="1"/>
    <col min="54" max="55" width="5" bestFit="1" customWidth="1"/>
    <col min="56" max="58" width="6" bestFit="1" customWidth="1"/>
    <col min="59" max="59" width="5" bestFit="1" customWidth="1"/>
    <col min="60" max="62" width="6" bestFit="1" customWidth="1"/>
    <col min="63" max="63" width="5" bestFit="1" customWidth="1"/>
    <col min="64" max="64" width="6" bestFit="1" customWidth="1"/>
    <col min="65" max="65" width="5" bestFit="1" customWidth="1"/>
    <col min="66" max="72" width="6" bestFit="1" customWidth="1"/>
    <col min="73" max="73" width="5" bestFit="1" customWidth="1"/>
    <col min="74" max="82" width="6" bestFit="1" customWidth="1"/>
    <col min="83" max="83" width="4" bestFit="1" customWidth="1"/>
    <col min="84" max="87" width="6" bestFit="1" customWidth="1"/>
    <col min="88" max="88" width="5" bestFit="1" customWidth="1"/>
    <col min="89" max="92" width="6" bestFit="1" customWidth="1"/>
    <col min="93" max="93" width="5" bestFit="1" customWidth="1"/>
    <col min="94" max="95" width="6" bestFit="1" customWidth="1"/>
    <col min="96" max="96" width="5" bestFit="1" customWidth="1"/>
    <col min="97" max="98" width="6" bestFit="1" customWidth="1"/>
    <col min="99" max="99" width="5" bestFit="1" customWidth="1"/>
    <col min="100" max="100" width="6" bestFit="1" customWidth="1"/>
    <col min="101" max="101" width="5" bestFit="1" customWidth="1"/>
    <col min="102" max="102" width="6" bestFit="1" customWidth="1"/>
    <col min="103" max="103" width="5" bestFit="1" customWidth="1"/>
    <col min="104" max="112" width="6" bestFit="1" customWidth="1"/>
    <col min="113" max="113" width="5" bestFit="1" customWidth="1"/>
    <col min="114" max="114" width="6" bestFit="1" customWidth="1"/>
    <col min="115" max="116" width="5" bestFit="1" customWidth="1"/>
    <col min="117" max="120" width="6" bestFit="1" customWidth="1"/>
    <col min="121" max="121" width="5" bestFit="1" customWidth="1"/>
    <col min="122" max="122" width="6" bestFit="1" customWidth="1"/>
    <col min="123" max="124" width="5" bestFit="1" customWidth="1"/>
    <col min="125" max="132" width="6" bestFit="1" customWidth="1"/>
    <col min="133" max="133" width="4" bestFit="1" customWidth="1"/>
    <col min="134" max="142" width="6" bestFit="1" customWidth="1"/>
    <col min="143" max="143" width="5" bestFit="1" customWidth="1"/>
    <col min="144" max="146" width="6" bestFit="1" customWidth="1"/>
    <col min="147" max="148" width="5" bestFit="1" customWidth="1"/>
    <col min="149" max="152" width="6" bestFit="1" customWidth="1"/>
    <col min="153" max="153" width="4" bestFit="1" customWidth="1"/>
    <col min="154" max="162" width="6" bestFit="1" customWidth="1"/>
    <col min="163" max="163" width="5" bestFit="1" customWidth="1"/>
    <col min="164" max="164" width="10.77734375" bestFit="1" customWidth="1"/>
  </cols>
  <sheetData>
    <row r="1" spans="1:2" x14ac:dyDescent="0.3">
      <c r="A1" s="1" t="s">
        <v>0</v>
      </c>
      <c r="B1" t="s">
        <v>29</v>
      </c>
    </row>
    <row r="2" spans="1:2" x14ac:dyDescent="0.3">
      <c r="A2" s="2" t="s">
        <v>24</v>
      </c>
      <c r="B2">
        <v>110.59820627802681</v>
      </c>
    </row>
    <row r="3" spans="1:2" x14ac:dyDescent="0.3">
      <c r="A3" s="2" t="s">
        <v>23</v>
      </c>
      <c r="B3">
        <v>118.57270194986076</v>
      </c>
    </row>
    <row r="4" spans="1:2" x14ac:dyDescent="0.3">
      <c r="A4" s="2" t="s">
        <v>27</v>
      </c>
      <c r="B4">
        <v>131.03510638297877</v>
      </c>
    </row>
    <row r="5" spans="1:2" x14ac:dyDescent="0.3">
      <c r="A5" s="2" t="s">
        <v>26</v>
      </c>
      <c r="B5">
        <v>107.00810055865921</v>
      </c>
    </row>
    <row r="6" spans="1:2" x14ac:dyDescent="0.3">
      <c r="A6" s="2" t="s">
        <v>25</v>
      </c>
      <c r="B6">
        <v>106.12918287937748</v>
      </c>
    </row>
    <row r="7" spans="1:2" x14ac:dyDescent="0.3">
      <c r="A7" s="2" t="s">
        <v>22</v>
      </c>
      <c r="B7">
        <v>112.37192982456141</v>
      </c>
    </row>
    <row r="8" spans="1:2" x14ac:dyDescent="0.3">
      <c r="A8" s="2" t="s">
        <v>28</v>
      </c>
      <c r="B8">
        <v>122.81333333333333</v>
      </c>
    </row>
    <row r="9" spans="1:2" x14ac:dyDescent="0.3">
      <c r="A9" s="2" t="s">
        <v>1</v>
      </c>
      <c r="B9">
        <v>113.137880794702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EE25-1C51-4F6D-BB76-7688E91D811A}">
  <dimension ref="A1:H13"/>
  <sheetViews>
    <sheetView topLeftCell="E1" workbookViewId="0">
      <selection activeCell="A4" sqref="A4:J13"/>
    </sheetView>
  </sheetViews>
  <sheetFormatPr defaultRowHeight="14.4" x14ac:dyDescent="0.3"/>
  <cols>
    <col min="1" max="1" width="23.109375" bestFit="1" customWidth="1"/>
    <col min="2" max="2" width="16.21875" bestFit="1" customWidth="1"/>
    <col min="3" max="3" width="7.6640625" bestFit="1" customWidth="1"/>
    <col min="4" max="4" width="6.5546875" bestFit="1" customWidth="1"/>
    <col min="5" max="5" width="10.6640625" bestFit="1" customWidth="1"/>
    <col min="6" max="7" width="7.6640625" bestFit="1" customWidth="1"/>
    <col min="8" max="8" width="11.21875" bestFit="1" customWidth="1"/>
    <col min="9" max="9" width="7.6640625" bestFit="1" customWidth="1"/>
    <col min="10" max="10" width="11.21875" bestFit="1" customWidth="1"/>
    <col min="11" max="11" width="17" bestFit="1" customWidth="1"/>
    <col min="12" max="13" width="10.77734375" bestFit="1" customWidth="1"/>
  </cols>
  <sheetData>
    <row r="1" spans="1:8" x14ac:dyDescent="0.3">
      <c r="A1" s="1" t="s">
        <v>2</v>
      </c>
      <c r="B1" s="1" t="s">
        <v>30</v>
      </c>
    </row>
    <row r="2" spans="1:8" x14ac:dyDescent="0.3">
      <c r="A2" s="1" t="s">
        <v>0</v>
      </c>
      <c r="B2" t="s">
        <v>7</v>
      </c>
      <c r="C2" t="s">
        <v>8</v>
      </c>
      <c r="D2" t="s">
        <v>9</v>
      </c>
      <c r="E2" t="s">
        <v>10</v>
      </c>
      <c r="F2" t="s">
        <v>11</v>
      </c>
      <c r="G2" t="s">
        <v>12</v>
      </c>
      <c r="H2" t="s">
        <v>1</v>
      </c>
    </row>
    <row r="3" spans="1:8" x14ac:dyDescent="0.3">
      <c r="A3" s="2" t="s">
        <v>17</v>
      </c>
      <c r="B3">
        <v>38.229999999999997</v>
      </c>
      <c r="C3">
        <v>31.1</v>
      </c>
      <c r="D3">
        <v>21.040000000000003</v>
      </c>
      <c r="E3">
        <v>11.98</v>
      </c>
      <c r="F3">
        <v>9.6599999999999984</v>
      </c>
      <c r="G3">
        <v>18.759999999999998</v>
      </c>
      <c r="H3">
        <v>130.77000000000004</v>
      </c>
    </row>
    <row r="4" spans="1:8" x14ac:dyDescent="0.3">
      <c r="A4" s="2" t="s">
        <v>19</v>
      </c>
      <c r="B4">
        <v>66.850000000000009</v>
      </c>
      <c r="C4">
        <v>22.249999999999996</v>
      </c>
      <c r="E4">
        <v>12.84</v>
      </c>
      <c r="F4">
        <v>10.500000000000002</v>
      </c>
      <c r="G4">
        <v>8.57</v>
      </c>
      <c r="H4">
        <v>121.00999999999999</v>
      </c>
    </row>
    <row r="5" spans="1:8" x14ac:dyDescent="0.3">
      <c r="A5" s="2" t="s">
        <v>16</v>
      </c>
      <c r="B5">
        <v>59.68</v>
      </c>
      <c r="C5">
        <v>21.02</v>
      </c>
      <c r="E5">
        <v>10.23</v>
      </c>
      <c r="F5">
        <v>15.91</v>
      </c>
      <c r="G5">
        <v>13.700000000000001</v>
      </c>
      <c r="H5">
        <v>120.53999999999989</v>
      </c>
    </row>
    <row r="6" spans="1:8" x14ac:dyDescent="0.3">
      <c r="A6" s="2" t="s">
        <v>18</v>
      </c>
      <c r="B6">
        <v>8.9499999999999993</v>
      </c>
      <c r="C6">
        <v>14.82</v>
      </c>
      <c r="E6">
        <v>40.850000000000009</v>
      </c>
      <c r="F6">
        <v>52.829999999999991</v>
      </c>
      <c r="G6">
        <v>13.34</v>
      </c>
      <c r="H6">
        <v>130.79</v>
      </c>
    </row>
    <row r="7" spans="1:8" x14ac:dyDescent="0.3">
      <c r="A7" s="2" t="s">
        <v>44</v>
      </c>
      <c r="B7">
        <v>49.870000000000005</v>
      </c>
      <c r="C7">
        <v>22.51</v>
      </c>
      <c r="E7">
        <v>14.009999999999998</v>
      </c>
      <c r="F7">
        <v>5.9899999999999993</v>
      </c>
      <c r="G7">
        <v>13.55</v>
      </c>
      <c r="H7">
        <v>105.92999999999998</v>
      </c>
    </row>
    <row r="8" spans="1:8" x14ac:dyDescent="0.3">
      <c r="A8" s="2" t="s">
        <v>45</v>
      </c>
      <c r="B8">
        <v>53.780000000000008</v>
      </c>
      <c r="C8">
        <v>19.080000000000002</v>
      </c>
      <c r="E8">
        <v>15.83</v>
      </c>
      <c r="F8">
        <v>8.5500000000000007</v>
      </c>
      <c r="G8">
        <v>12.43</v>
      </c>
      <c r="H8">
        <v>109.67000000000002</v>
      </c>
    </row>
    <row r="9" spans="1:8" x14ac:dyDescent="0.3">
      <c r="A9" s="2" t="s">
        <v>20</v>
      </c>
      <c r="B9">
        <v>9.23</v>
      </c>
      <c r="C9">
        <v>17.27</v>
      </c>
      <c r="E9">
        <v>39.949999999999989</v>
      </c>
      <c r="F9">
        <v>42.300000000000004</v>
      </c>
      <c r="G9">
        <v>14.469999999999999</v>
      </c>
      <c r="H9">
        <v>123.22</v>
      </c>
    </row>
    <row r="10" spans="1:8" x14ac:dyDescent="0.3">
      <c r="A10" s="2" t="s">
        <v>21</v>
      </c>
      <c r="B10">
        <v>8.35</v>
      </c>
      <c r="C10">
        <v>18.619999999999994</v>
      </c>
      <c r="E10">
        <v>42.69</v>
      </c>
      <c r="F10">
        <v>51.809999999999988</v>
      </c>
      <c r="G10">
        <v>11.379999999999999</v>
      </c>
      <c r="H10">
        <v>132.85000000000002</v>
      </c>
    </row>
    <row r="11" spans="1:8" x14ac:dyDescent="0.3">
      <c r="A11" s="2" t="s">
        <v>46</v>
      </c>
      <c r="B11">
        <v>66.720000000000013</v>
      </c>
      <c r="C11">
        <v>14.330000000000002</v>
      </c>
      <c r="E11">
        <v>14.9</v>
      </c>
      <c r="F11">
        <v>8.11</v>
      </c>
      <c r="G11">
        <v>10.18</v>
      </c>
      <c r="H11">
        <v>114.24</v>
      </c>
    </row>
    <row r="12" spans="1:8" x14ac:dyDescent="0.3">
      <c r="A12" s="2" t="s">
        <v>47</v>
      </c>
      <c r="B12">
        <v>50.280000000000015</v>
      </c>
      <c r="C12">
        <v>25.03</v>
      </c>
      <c r="E12">
        <v>23.67</v>
      </c>
      <c r="F12">
        <v>9.16</v>
      </c>
      <c r="G12">
        <v>14.06</v>
      </c>
      <c r="H12">
        <v>122.19999999999997</v>
      </c>
    </row>
    <row r="13" spans="1:8" x14ac:dyDescent="0.3">
      <c r="A13" s="2" t="s">
        <v>1</v>
      </c>
      <c r="B13">
        <v>411.93999999999937</v>
      </c>
      <c r="C13">
        <v>206.03</v>
      </c>
      <c r="D13">
        <v>21.040000000000003</v>
      </c>
      <c r="E13">
        <v>226.9499999999999</v>
      </c>
      <c r="F13">
        <v>214.81999999999996</v>
      </c>
      <c r="G13">
        <v>130.44</v>
      </c>
      <c r="H13">
        <v>1211.2199999999996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BF332A3-2A7C-43DF-BE18-9C5C7A6FBEB0}">
  <ds:schemaRefs/>
</ds:datastoreItem>
</file>

<file path=customXml/itemProps2.xml><?xml version="1.0" encoding="utf-8"?>
<ds:datastoreItem xmlns:ds="http://schemas.openxmlformats.org/officeDocument/2006/customXml" ds:itemID="{2B440BAE-6A0A-497C-B1D8-D7EB61E0A645}">
  <ds:schemaRefs/>
</ds:datastoreItem>
</file>

<file path=customXml/itemProps3.xml><?xml version="1.0" encoding="utf-8"?>
<ds:datastoreItem xmlns:ds="http://schemas.openxmlformats.org/officeDocument/2006/customXml" ds:itemID="{94558002-9EF4-44DF-A592-FDDD2EEA479F}">
  <ds:schemaRefs/>
</ds:datastoreItem>
</file>

<file path=customXml/itemProps4.xml><?xml version="1.0" encoding="utf-8"?>
<ds:datastoreItem xmlns:ds="http://schemas.openxmlformats.org/officeDocument/2006/customXml" ds:itemID="{885EFE8D-563E-4906-9C4A-0BBD4050DB23}">
  <ds:schemaRefs/>
</ds:datastoreItem>
</file>

<file path=customXml/itemProps5.xml><?xml version="1.0" encoding="utf-8"?>
<ds:datastoreItem xmlns:ds="http://schemas.openxmlformats.org/officeDocument/2006/customXml" ds:itemID="{57C2FD4E-FDBF-4ED9-BAEF-8E2D6DE67286}">
  <ds:schemaRefs/>
</ds:datastoreItem>
</file>

<file path=customXml/itemProps6.xml><?xml version="1.0" encoding="utf-8"?>
<ds:datastoreItem xmlns:ds="http://schemas.openxmlformats.org/officeDocument/2006/customXml" ds:itemID="{8C1421A6-AB3F-43F8-8E77-337487FC144B}">
  <ds:schemaRefs/>
</ds:datastoreItem>
</file>

<file path=customXml/itemProps7.xml><?xml version="1.0" encoding="utf-8"?>
<ds:datastoreItem xmlns:ds="http://schemas.openxmlformats.org/officeDocument/2006/customXml" ds:itemID="{0FB1E5CC-F955-4602-99A9-8853A17C282B}">
  <ds:schemaRefs/>
</ds:datastoreItem>
</file>

<file path=customXml/itemProps8.xml><?xml version="1.0" encoding="utf-8"?>
<ds:datastoreItem xmlns:ds="http://schemas.openxmlformats.org/officeDocument/2006/customXml" ds:itemID="{622CB004-3ABD-4842-BFA9-6E0CF96A2519}">
  <ds:schemaRefs/>
</ds:datastoreItem>
</file>

<file path=customXml/itemProps9.xml><?xml version="1.0" encoding="utf-8"?>
<ds:datastoreItem xmlns:ds="http://schemas.openxmlformats.org/officeDocument/2006/customXml" ds:itemID="{EB573846-B6DA-47FD-88AA-794714D4901D}">
  <ds:schemaRefs/>
</ds:datastoreItem>
</file>

<file path=customXml/itemProps10.xml><?xml version="1.0" encoding="utf-8"?>
<ds:datastoreItem xmlns:ds="http://schemas.openxmlformats.org/officeDocument/2006/customXml" ds:itemID="{6F9B6A2D-8CA4-45E1-B05C-31343EA77DD9}">
  <ds:schemaRefs/>
</ds:datastoreItem>
</file>

<file path=customXml/itemProps11.xml><?xml version="1.0" encoding="utf-8"?>
<ds:datastoreItem xmlns:ds="http://schemas.openxmlformats.org/officeDocument/2006/customXml" ds:itemID="{B6F2066D-F695-49AB-9997-0026A2CAD655}">
  <ds:schemaRefs>
    <ds:schemaRef ds:uri="http://schemas.microsoft.com/DataMashup"/>
  </ds:schemaRefs>
</ds:datastoreItem>
</file>

<file path=customXml/itemProps12.xml><?xml version="1.0" encoding="utf-8"?>
<ds:datastoreItem xmlns:ds="http://schemas.openxmlformats.org/officeDocument/2006/customXml" ds:itemID="{527CBAED-712F-4C85-BB72-C05BF9F96FE0}">
  <ds:schemaRefs/>
</ds:datastoreItem>
</file>

<file path=customXml/itemProps13.xml><?xml version="1.0" encoding="utf-8"?>
<ds:datastoreItem xmlns:ds="http://schemas.openxmlformats.org/officeDocument/2006/customXml" ds:itemID="{E8B833B3-0580-4762-8030-1F7127179EAB}">
  <ds:schemaRefs/>
</ds:datastoreItem>
</file>

<file path=customXml/itemProps14.xml><?xml version="1.0" encoding="utf-8"?>
<ds:datastoreItem xmlns:ds="http://schemas.openxmlformats.org/officeDocument/2006/customXml" ds:itemID="{E7B3AABC-842C-42DC-9268-81B51AD6D21C}">
  <ds:schemaRefs/>
</ds:datastoreItem>
</file>

<file path=customXml/itemProps15.xml><?xml version="1.0" encoding="utf-8"?>
<ds:datastoreItem xmlns:ds="http://schemas.openxmlformats.org/officeDocument/2006/customXml" ds:itemID="{DCA3A44B-61EB-4CC9-8C7B-61FBDD3667EF}">
  <ds:schemaRefs/>
</ds:datastoreItem>
</file>

<file path=customXml/itemProps16.xml><?xml version="1.0" encoding="utf-8"?>
<ds:datastoreItem xmlns:ds="http://schemas.openxmlformats.org/officeDocument/2006/customXml" ds:itemID="{9562E59C-8512-402E-A26B-A6792DBD709F}">
  <ds:schemaRefs/>
</ds:datastoreItem>
</file>

<file path=customXml/itemProps17.xml><?xml version="1.0" encoding="utf-8"?>
<ds:datastoreItem xmlns:ds="http://schemas.openxmlformats.org/officeDocument/2006/customXml" ds:itemID="{FF0C001E-AEA0-4CEA-B7EC-2E925DB78D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count by weather</vt:lpstr>
      <vt:lpstr>avg travel tym by road</vt:lpstr>
      <vt:lpstr>congestion trend</vt:lpstr>
      <vt:lpstr>source destination </vt:lpstr>
      <vt:lpstr>avg travel tym by day of week</vt:lpstr>
      <vt:lpstr>impact of festival and weather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Gopika Sreejith</dc:creator>
  <cp:lastModifiedBy>Gopika Sreejith</cp:lastModifiedBy>
  <dcterms:created xsi:type="dcterms:W3CDTF">2025-08-26T08:54:40Z</dcterms:created>
  <dcterms:modified xsi:type="dcterms:W3CDTF">2025-11-02T13:15:54Z</dcterms:modified>
</cp:coreProperties>
</file>